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\UltraZohm\pcb_design\uz_per_sic_inverter_828xcc\Project Outputs for UZ_PER_SiC_inverter_828xcc\BOM\"/>
    </mc:Choice>
  </mc:AlternateContent>
  <xr:revisionPtr revIDLastSave="0" documentId="13_ncr:1_{16F54E98-1F68-4D99-B04D-4475B353ECDF}" xr6:coauthVersionLast="47" xr6:coauthVersionMax="47" xr10:uidLastSave="{00000000-0000-0000-0000-000000000000}"/>
  <bookViews>
    <workbookView xWindow="28680" yWindow="-2340" windowWidth="38640" windowHeight="21120" xr2:uid="{8A676876-055D-4298-A61F-8B0B77D8FE74}"/>
  </bookViews>
  <sheets>
    <sheet name="BOM_UZ_PER_SiC_inverter_828xcc_" sheetId="1" r:id="rId1"/>
  </sheets>
  <definedNames>
    <definedName name="_xlnm.Print_Titles" localSheetId="0">BOM_UZ_PER_SiC_inverter_828xcc_!$1:$1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7" i="1" l="1"/>
  <c r="V6" i="1"/>
  <c r="S2" i="1"/>
  <c r="S3" i="1"/>
  <c r="S4" i="1"/>
  <c r="S5" i="1"/>
  <c r="S6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26" i="1"/>
</calcChain>
</file>

<file path=xl/sharedStrings.xml><?xml version="1.0" encoding="utf-8"?>
<sst xmlns="http://schemas.openxmlformats.org/spreadsheetml/2006/main" count="469" uniqueCount="306">
  <si>
    <t>Quantity</t>
  </si>
  <si>
    <t>Comment</t>
  </si>
  <si>
    <t>Designator</t>
  </si>
  <si>
    <t>MF</t>
  </si>
  <si>
    <t>MPN</t>
  </si>
  <si>
    <t>Value</t>
  </si>
  <si>
    <t>Description</t>
  </si>
  <si>
    <t>Footprint</t>
  </si>
  <si>
    <t>Package</t>
  </si>
  <si>
    <t>Voltage</t>
  </si>
  <si>
    <t>Dielectric</t>
  </si>
  <si>
    <t>Supplier 1</t>
  </si>
  <si>
    <t>Supplier Part Number 1</t>
  </si>
  <si>
    <t>Supplier 2</t>
  </si>
  <si>
    <t>Supplier Part Number 2</t>
  </si>
  <si>
    <t>Supplier 3</t>
  </si>
  <si>
    <t>Supplier Part Number 3</t>
  </si>
  <si>
    <t>0.1 µF</t>
  </si>
  <si>
    <t>C1, C2, C5, C8, C9, C14, C15, C21, C22, C38, C39, C41, C43, C44, C57A, C57B, C57C, C57D, C61A, C61B, C61C, C61D, C64A, C64B, C64C, C64D, C66A, C66B, C66C, C66D, C66E, C66F, C66G, C68A, C68B, C71A, C71B, C71C, C71D, C72A, C72B, C72C, C72D, C73</t>
  </si>
  <si>
    <t>Capacitor 0603, 50 VDC, 0.1 µF, X7R</t>
  </si>
  <si>
    <t>C_0603</t>
  </si>
  <si>
    <t>Mouser</t>
  </si>
  <si>
    <t>80-C0603X104K5R7411</t>
  </si>
  <si>
    <t>LCSC</t>
  </si>
  <si>
    <t>C14663</t>
  </si>
  <si>
    <t>10 µF</t>
  </si>
  <si>
    <t>C3, C4, C10, C11, C12, C19, C20, C69, C70</t>
  </si>
  <si>
    <t>Capacitor 1206, 50 VDC, 10 µF, X7R</t>
  </si>
  <si>
    <t>C_1206</t>
  </si>
  <si>
    <t>810-CGA5L1X7R1H106K1</t>
  </si>
  <si>
    <t>22 µF</t>
  </si>
  <si>
    <t>C6, C7, C17, C18, C37, C40, C42</t>
  </si>
  <si>
    <t>Capacitor 1206, 35 VDC, 22µF, X5R</t>
  </si>
  <si>
    <t>810-C3216X5R1V226M</t>
  </si>
  <si>
    <t>4.7 µF</t>
  </si>
  <si>
    <t>C13, C16, C23, C67A, C67B, C67C, C67D, C67E, C67F, C67G</t>
  </si>
  <si>
    <t>Capacitor 0805, 50 VDC, 4.7 µF, X7R</t>
  </si>
  <si>
    <t>C_0805</t>
  </si>
  <si>
    <t>810-C2012X7R475K125C</t>
  </si>
  <si>
    <t>40 µF</t>
  </si>
  <si>
    <t>C24, C25, C26, C27, C28, C29, C30, C31, C32, C33</t>
  </si>
  <si>
    <t>Film Capacitors, 40 µF, 1000 VDC for DC Link</t>
  </si>
  <si>
    <t>B32778Z</t>
  </si>
  <si>
    <t>871-B32778Z0406K000</t>
  </si>
  <si>
    <t>100 nF</t>
  </si>
  <si>
    <t>C34, C35</t>
  </si>
  <si>
    <t>Folienkondensatoren 1600V .10uF 10% PCM 27.5</t>
  </si>
  <si>
    <t>WIMA</t>
  </si>
  <si>
    <t>505-M10.1/1600/10P</t>
  </si>
  <si>
    <t>1 nF</t>
  </si>
  <si>
    <t>C36, C45, C46, C47, C48, C49, C50, C56A, C56B, C56C, C56D, C65A, C65B, C65C, C65D</t>
  </si>
  <si>
    <t>Capacitor 0603, 50 VDC, 1 nF, C0G, Capacitor 0603, 50 VDC, 1 nF, NP0</t>
  </si>
  <si>
    <t>Mouser, LCSC</t>
  </si>
  <si>
    <t>581-06035A102J, C106246</t>
  </si>
  <si>
    <t>330 pF</t>
  </si>
  <si>
    <t>C51A, C51B, C51C, C51D, C55A, C55B, C55C, C55D</t>
  </si>
  <si>
    <t>Capacitor 0603, 50 VDC, 330 pF, X7R</t>
  </si>
  <si>
    <t>80-C0603X331J5R3112</t>
  </si>
  <si>
    <t>22 pF</t>
  </si>
  <si>
    <t>C52A, C52B, C52C, C52D, C54A, C54B, C54C, C54D, C58A, C58B, C58C, C58D, C63A, C63B, C63C, C63D</t>
  </si>
  <si>
    <t>Capacitor 0603, 50 VDC, 22 pF, X7R</t>
  </si>
  <si>
    <t>80-C0603C220J5R</t>
  </si>
  <si>
    <t>1 µF</t>
  </si>
  <si>
    <t>C53A, C53B, C53C, C53D, C59A, C59B, C59C, C59D, C62A, C62B, C62C, C62D</t>
  </si>
  <si>
    <t>50V 1uF X7R ±10% 0603 Multilayer Ceramic Capacitors MLCC - SMD/SMT ROHS</t>
  </si>
  <si>
    <t>C105174</t>
  </si>
  <si>
    <t>963-UMK107AB7105MA-T</t>
  </si>
  <si>
    <t>2.2 nF</t>
  </si>
  <si>
    <t>C60A, C60B, C60C, C60D</t>
  </si>
  <si>
    <t>Capacitor 0603, 50 VDC, 2.2 nF, X7R</t>
  </si>
  <si>
    <t>581-06035C222J</t>
  </si>
  <si>
    <t>LM4040 5.0V</t>
  </si>
  <si>
    <t>D1</t>
  </si>
  <si>
    <t>Voltage Reference, 5.0V, ±0.5%, ±15mA</t>
  </si>
  <si>
    <t>SOT-23-3</t>
  </si>
  <si>
    <t>700-LM4040CIM3-5.0T</t>
  </si>
  <si>
    <t>150060RS86000</t>
  </si>
  <si>
    <t>D2A, D2B, D2C, D2D, D2E, D2F, D2G</t>
  </si>
  <si>
    <t>WL-SMCW SMD Mono-color Chip LED Waterclear Red</t>
  </si>
  <si>
    <t>WL-SMCW_0603</t>
  </si>
  <si>
    <t>710-150060RS86000</t>
  </si>
  <si>
    <t>Farnell</t>
  </si>
  <si>
    <t>3408608</t>
  </si>
  <si>
    <t>Digi-Key</t>
  </si>
  <si>
    <t>732-150060RS86000CT-ND</t>
  </si>
  <si>
    <t>150060GS84000</t>
  </si>
  <si>
    <t>D3A, D3B, D4, D5, D6, D7</t>
  </si>
  <si>
    <t>WL-SMCW SMD Mono-color Chip LED Waterclear Green</t>
  </si>
  <si>
    <t>710-150060GS84000</t>
  </si>
  <si>
    <t>3408612</t>
  </si>
  <si>
    <t>732-150060GS84000CT-ND</t>
  </si>
  <si>
    <t>0154.500DR</t>
  </si>
  <si>
    <t>F1</t>
  </si>
  <si>
    <t>500 mA</t>
  </si>
  <si>
    <t>Fuse OMNI BLOK 154</t>
  </si>
  <si>
    <t>Littlefuse_154</t>
  </si>
  <si>
    <t>576-0154.500DR</t>
  </si>
  <si>
    <t>SN74HCS32PWR</t>
  </si>
  <si>
    <t>IC1</t>
  </si>
  <si>
    <t>6 V</t>
  </si>
  <si>
    <t>Logische Gatter Quadruple 2-input OR gates with Schmitt-trigger inputs 14-TSSOP -40 to 125</t>
  </si>
  <si>
    <t>TSSOP-14</t>
  </si>
  <si>
    <t>595-SN74HCS32PWR</t>
  </si>
  <si>
    <t>AP63205WU-7</t>
  </si>
  <si>
    <t>IC2</t>
  </si>
  <si>
    <t>Switching Voltage Regulators DCDC Conv HV Buck TSOT26 T&amp;R 3K</t>
  </si>
  <si>
    <t>TSOT26-6</t>
  </si>
  <si>
    <t>621-AP63205WU-7</t>
  </si>
  <si>
    <t>NXJ2S2415MC-R7</t>
  </si>
  <si>
    <t>IC3</t>
  </si>
  <si>
    <t>2 W</t>
  </si>
  <si>
    <t>Isolated DC/DC Converters - SMD 21.6V TO 26.4V IN 15V OUT</t>
  </si>
  <si>
    <t>DCDC</t>
  </si>
  <si>
    <t>580-NXJ2S2415MC-R7</t>
  </si>
  <si>
    <t>NXJ2S0505MC-R7</t>
  </si>
  <si>
    <t>IC4</t>
  </si>
  <si>
    <t>Isolated DC/DC Converters - SMD 4.5V TO 5.5V IN 5V OUT</t>
  </si>
  <si>
    <t>811-3818-1-ND</t>
  </si>
  <si>
    <t>IM828XCCXKMA1</t>
  </si>
  <si>
    <t>IC5</t>
  </si>
  <si>
    <t>900V 20A</t>
  </si>
  <si>
    <t>Motor/Motion/Ignition Controllers &amp; Drivers SiC MOSFET</t>
  </si>
  <si>
    <t>726-IM828XCCXKMA1</t>
  </si>
  <si>
    <t>LTC6992HS6-4#WTRMPBF</t>
  </si>
  <si>
    <t>IC6</t>
  </si>
  <si>
    <t>Switching Controllers PWM with 5% to 100% Pulse Width Control</t>
  </si>
  <si>
    <t>SOT95P280X100-6N</t>
  </si>
  <si>
    <t>584-6992HS64WTRMPBF</t>
  </si>
  <si>
    <t>ADA4940-1ARZ-R7</t>
  </si>
  <si>
    <t>IC7A, IC7B, IC7C, IC7D, IC9A, IC9B, IC9C, IC9D</t>
  </si>
  <si>
    <t>differential ADC driver</t>
  </si>
  <si>
    <t>Differential ADC Driver</t>
  </si>
  <si>
    <t>SOIC-8-N</t>
  </si>
  <si>
    <t>584-ADA4940-1ARZ-R7</t>
  </si>
  <si>
    <t>CAS5015SRA-LI</t>
  </si>
  <si>
    <t>IC8A, IC8B, IC8C, IC8D</t>
  </si>
  <si>
    <t>15A</t>
  </si>
  <si>
    <t>15A, 1.1%, 400kHz</t>
  </si>
  <si>
    <t>CAS50xxSRA</t>
  </si>
  <si>
    <t>RS</t>
  </si>
  <si>
    <t>216-9746</t>
  </si>
  <si>
    <t>SN74LVC1G14DBV</t>
  </si>
  <si>
    <t>IC10A, IC10B, IC10C, IC10D, IC10E, IC10F, IC10G, IC11A, IC11B</t>
  </si>
  <si>
    <t>5.5 V</t>
  </si>
  <si>
    <t>Inverting Schmitt trigger</t>
  </si>
  <si>
    <t>SOT23-5_L</t>
  </si>
  <si>
    <t>595-SN74LVC1G14DBVT</t>
  </si>
  <si>
    <t>LM2903M8-13</t>
  </si>
  <si>
    <t>IC12A, IC12B, IC12C, IC12D</t>
  </si>
  <si>
    <t>Analoge Komparatoren Comparator</t>
  </si>
  <si>
    <t>MSOP-8 (RM-8)</t>
  </si>
  <si>
    <t>621-LM2903M8-13</t>
  </si>
  <si>
    <t>TC7SZ86FU,LJ(CT</t>
  </si>
  <si>
    <t>IC13A, IC13B, IC13C, IC13D</t>
  </si>
  <si>
    <t>IC GATE XOR 1CH 2-INP USV</t>
  </si>
  <si>
    <t>SOT353-1_N</t>
  </si>
  <si>
    <t>757-TC7SZ86FULJCT</t>
  </si>
  <si>
    <t>TC7SZ86FULJ(CTCT-ND</t>
  </si>
  <si>
    <t>HFBR-2521Z</t>
  </si>
  <si>
    <t>J1A, J1B, J1C, J1D, J1E, J1F, J1G</t>
  </si>
  <si>
    <t>Boadcom/Avago</t>
  </si>
  <si>
    <t>Fibre Optic Receivers, LINK HORIZ 5MBd RC VR RoHS</t>
  </si>
  <si>
    <t>HFBRx5XX</t>
  </si>
  <si>
    <t>630-HFBR-2521Z</t>
  </si>
  <si>
    <t>HFBR-1521Z</t>
  </si>
  <si>
    <t>J2A, J2B</t>
  </si>
  <si>
    <t>Broadcom/Avago</t>
  </si>
  <si>
    <t>Fibre Optic Transmitters, Link Horiz 5MBd Tx RoHS</t>
  </si>
  <si>
    <t>630-HFBR-1521Z</t>
  </si>
  <si>
    <t>516-2043-ND</t>
  </si>
  <si>
    <t>FCR7350B, PCB mount 4mm jack, BLACK</t>
  </si>
  <si>
    <t>J3, J6, J9</t>
  </si>
  <si>
    <t>PCB mount 4mm jack, Black	FCR7350B, 1000V, 24A</t>
  </si>
  <si>
    <t>FCR7350B, 1000V, 24A, BLACK</t>
  </si>
  <si>
    <t>FCR7350</t>
  </si>
  <si>
    <t>3185-FCR7350B-ND</t>
  </si>
  <si>
    <t>farnell</t>
  </si>
  <si>
    <t>1854507</t>
  </si>
  <si>
    <t>FCR7350R, PCB mount 4mm jack, RED</t>
  </si>
  <si>
    <t>J4, J5</t>
  </si>
  <si>
    <t>PCB mount 4mm jack, Red FCR7350R, 1000V, 24A</t>
  </si>
  <si>
    <t>FCR7350B, 1000V, 24A, RED</t>
  </si>
  <si>
    <t>3185-FCR7350R-ND</t>
  </si>
  <si>
    <t>1854508</t>
  </si>
  <si>
    <t>FCR7350L, PCB mount 4mm jack, BLUE</t>
  </si>
  <si>
    <t>J7, J8</t>
  </si>
  <si>
    <t>PCB mount 4mm jack, Blue FCR7350L, 1000V, 24A</t>
  </si>
  <si>
    <t>FCR7350B, 1000V, 24A, BLUE</t>
  </si>
  <si>
    <t>3185-FCR7350L-ND</t>
  </si>
  <si>
    <t>1854511</t>
  </si>
  <si>
    <t>RJHSE538002</t>
  </si>
  <si>
    <t>J10</t>
  </si>
  <si>
    <t>CAT5, RJ45 Connector, 1x2</t>
  </si>
  <si>
    <t>RJHSE-5380-02</t>
  </si>
  <si>
    <t>1860605</t>
  </si>
  <si>
    <t>LQH43PN4R7M26L</t>
  </si>
  <si>
    <t>L1</t>
  </si>
  <si>
    <t>EPCOS / TDK</t>
  </si>
  <si>
    <t>B82464G4154M</t>
  </si>
  <si>
    <t>4.7 uH</t>
  </si>
  <si>
    <t>Leistungsinduktivitäten – SMD 4.7 UH 20%</t>
  </si>
  <si>
    <t>IND</t>
  </si>
  <si>
    <t>81-LQH43PN4R7M26L</t>
  </si>
  <si>
    <t>LQM31PN4R7M00L</t>
  </si>
  <si>
    <t>L2, L3</t>
  </si>
  <si>
    <t>375 mOhm</t>
  </si>
  <si>
    <t>Power Inductors - SMD 4.7 UH 20%</t>
  </si>
  <si>
    <t>IND 1206_3216</t>
  </si>
  <si>
    <t>81-LQM31PN4R7M00L</t>
  </si>
  <si>
    <t>VO617A-2X017T</t>
  </si>
  <si>
    <t>OP1</t>
  </si>
  <si>
    <t>Transistor-Ausgangsoptokoppler H. Relblty 5300 Vrms 63-125% CTR, VDE</t>
  </si>
  <si>
    <t>SMD4</t>
  </si>
  <si>
    <t>78-VO617A-2X017T</t>
  </si>
  <si>
    <t>T2N7002AK,LM</t>
  </si>
  <si>
    <t>Q1</t>
  </si>
  <si>
    <t>60 V</t>
  </si>
  <si>
    <t>Small-signal MOSFET, n-Channel, 200 mA, 60 V</t>
  </si>
  <si>
    <t>757-T2N7002AKLM</t>
  </si>
  <si>
    <t>T2N7002AKLMCT-ND</t>
  </si>
  <si>
    <t>270R</t>
  </si>
  <si>
    <t>R1, R2</t>
  </si>
  <si>
    <t>SMD resistor E24 series</t>
  </si>
  <si>
    <t>RES 0603_1608</t>
  </si>
  <si>
    <t>660-RK73B1JTTDD271J</t>
  </si>
  <si>
    <t>10k</t>
  </si>
  <si>
    <t>R3, R51A, R51B, R52A, R52B, R61</t>
  </si>
  <si>
    <t>SMD resistor 1%, SMD resistor E24 series</t>
  </si>
  <si>
    <t>Farnell, Mouser</t>
  </si>
  <si>
    <t>2447230, 660-RK73B1JTTD103J</t>
  </si>
  <si>
    <t>18k</t>
  </si>
  <si>
    <t>R4, R56, R58</t>
  </si>
  <si>
    <t>660-RK73B1JTTD183J</t>
  </si>
  <si>
    <t>100R</t>
  </si>
  <si>
    <t>R5, R11, R12, R13, R14, R15, R16, R25A, R25B, R25C, R25D, R27A, R27B, R27C, R27D, R28A, R28B, R28C, R28D, R30A, R30B, R30C, R30D, R40A, R40B, R40C, R40D, R42A, R42B, R42C, R42D, R43A, R43B, R43C, R43D, R45A, R45B, R45C, R45D</t>
  </si>
  <si>
    <t>660-RK73B1JTTD101J</t>
  </si>
  <si>
    <t>C22775</t>
  </si>
  <si>
    <t>12k</t>
  </si>
  <si>
    <t>R6</t>
  </si>
  <si>
    <t>SMD resistor E24 series 12 kOhms 100mW 0603 1%</t>
  </si>
  <si>
    <t>603-AC0603FR-1012KL</t>
  </si>
  <si>
    <t>470k</t>
  </si>
  <si>
    <t>R7</t>
  </si>
  <si>
    <t>SMD resistor E24 series 470 kOhms 100-200 mW 0603 1%</t>
  </si>
  <si>
    <t>603-RC0603FR-10470KL</t>
  </si>
  <si>
    <t>287k</t>
  </si>
  <si>
    <t>R8</t>
  </si>
  <si>
    <t>SMD resistor 1%</t>
  </si>
  <si>
    <t>RES 0805_2012</t>
  </si>
  <si>
    <t>667-ERJ-6ENF2873V</t>
  </si>
  <si>
    <t>976k</t>
  </si>
  <si>
    <t>R9</t>
  </si>
  <si>
    <t>SMD resistor 1%, 50V, 100ppm</t>
  </si>
  <si>
    <t>652-CR0603FX-9763ELF</t>
  </si>
  <si>
    <t>182k</t>
  </si>
  <si>
    <t>R10</t>
  </si>
  <si>
    <t>652-CR0603FX-1823ELF</t>
  </si>
  <si>
    <t>330K</t>
  </si>
  <si>
    <t>R17A, R17B, R17C, R17D, R18A, R18B, R18C, R18D, R19A, R19B, R19C, R19D, R20A, R20B, R20C, R20D, R21A, R21B, R21C, R21D, R22A, R22B, R22C, R22D, R33A, R33B, R33C, R33D, R34A, R34B, R34C, R34D, R35A, R35B, R35C, R35D, R36A, R36B, R36C, R36D, R37A, R37B, R37C, R37D, R38A, R38B, R38C, R38D</t>
  </si>
  <si>
    <t>SMD resistor E24 series 330K OHM 1% 50PPM 1/4W</t>
  </si>
  <si>
    <t>RES 1206_3216</t>
  </si>
  <si>
    <t>603-RT1206FRE07330KL</t>
  </si>
  <si>
    <t>220k</t>
  </si>
  <si>
    <t>R23A, R23B, R23C, R23D, R24A, R24B, R24C, R24D, R31A, R31B, R31C, R31D, R32A, R32B, R32C, R32D</t>
  </si>
  <si>
    <t>603-AC0603FR-07220KL</t>
  </si>
  <si>
    <t>22K</t>
  </si>
  <si>
    <t>R26A, R26B, R26C, R26D, R29A, R29B, R29C, R29D</t>
  </si>
  <si>
    <t>SMD resistor E24 series 22K 0.5% 1/10W 75 Volts 50ppm</t>
  </si>
  <si>
    <t>603-RT0603DRE0722KL</t>
  </si>
  <si>
    <t>2k</t>
  </si>
  <si>
    <t>R39A, R39B, R39C, R39D, R46A, R46B, R46C, R46D</t>
  </si>
  <si>
    <t>SMD resistor 0.1%</t>
  </si>
  <si>
    <t>667-ERA-3VEB2001V</t>
  </si>
  <si>
    <t>1k</t>
  </si>
  <si>
    <t>R41A, R41B, R41C, R41D, R44A, R44B, R44C, R44D</t>
  </si>
  <si>
    <t>66-PCFW0603LF031001B</t>
  </si>
  <si>
    <t>43k</t>
  </si>
  <si>
    <t>R47A, R47B, R47C, R47D, R47E, R47F, R47G</t>
  </si>
  <si>
    <t>660-RK73B1JTTD433J</t>
  </si>
  <si>
    <t>3k9</t>
  </si>
  <si>
    <t>R48A, R48B, R48C, R48D, R48E, R48F, R48G, R49A, R49B, R57, R59, R60</t>
  </si>
  <si>
    <t>660-RK73B1JTTDD392J</t>
  </si>
  <si>
    <t>150R</t>
  </si>
  <si>
    <t>R50A, R50B</t>
  </si>
  <si>
    <t>660-RK73B1JTTD151J</t>
  </si>
  <si>
    <t>5.6k</t>
  </si>
  <si>
    <t>R53A, R53B, R53C, R53D, R55A, R55B, R55C, R55D</t>
  </si>
  <si>
    <t>SMD resistor E24 series 5.6 kOhms 100mW 0603 1%</t>
  </si>
  <si>
    <t>603-AC0603FR-075K6L</t>
  </si>
  <si>
    <t>33k</t>
  </si>
  <si>
    <t>R54A, R54B, R54C, R54D</t>
  </si>
  <si>
    <t>603-AC0603FR-1333KL</t>
  </si>
  <si>
    <t>Anzahl Boards</t>
  </si>
  <si>
    <t>Vorhanden</t>
  </si>
  <si>
    <t>Bestellt bei</t>
  </si>
  <si>
    <t>Mouser 20</t>
  </si>
  <si>
    <t>Mouser 3</t>
  </si>
  <si>
    <t>Farnell 3</t>
  </si>
  <si>
    <t>Digikey 3</t>
  </si>
  <si>
    <t>Digikey</t>
  </si>
  <si>
    <t>Digikey 30</t>
  </si>
  <si>
    <t>Farnell 6</t>
  </si>
  <si>
    <t>Farnell 4</t>
  </si>
  <si>
    <t>Farnell 13</t>
  </si>
  <si>
    <t>x</t>
  </si>
  <si>
    <t>n. bestellt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</si>
</sst>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  <xf numFmtId="0" fontId="0" fillId="3" borderId="1" xfId="0" applyFill="1" applyBorder="1"/>
    <xf numFmtId="0" fontId="0" fillId="3" borderId="1" xfId="0" quotePrefix="1" applyFill="1" applyBorder="1"/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7E372-A974-45DC-8A1E-A0CEDD035735}">
  <dimension ref="A1:W56"/>
  <sheetViews>
    <sheetView tabSelected="1" zoomScale="85" zoomScaleNormal="85" workbookViewId="0">
      <selection activeCell="S36" sqref="S36"/>
    </sheetView>
  </sheetViews>
  <sheetFormatPr baseColWidth="10" defaultRowHeight="14.5" x14ac:dyDescent="0.35"/>
  <cols>
    <col min="1" max="1" width="10.1796875" customWidth="1"/>
    <col min="2" max="2" width="18" customWidth="1"/>
    <col min="3" max="3" width="28.54296875" customWidth="1"/>
    <col min="4" max="4" width="18.1796875" customWidth="1"/>
    <col min="5" max="5" width="20.36328125" customWidth="1"/>
    <col min="6" max="6" width="13.26953125" customWidth="1"/>
    <col min="7" max="7" width="79.36328125" bestFit="1" customWidth="1"/>
    <col min="8" max="9" width="12.36328125" customWidth="1"/>
    <col min="10" max="10" width="9.453125" customWidth="1"/>
    <col min="11" max="11" width="11.453125" customWidth="1"/>
    <col min="12" max="12" width="11.90625" customWidth="1"/>
    <col min="13" max="13" width="15.08984375" customWidth="1"/>
    <col min="14" max="14" width="10.1796875" customWidth="1"/>
    <col min="15" max="15" width="9" customWidth="1"/>
    <col min="16" max="16" width="7.7265625" customWidth="1"/>
    <col min="17" max="17" width="23.08984375" bestFit="1" customWidth="1"/>
  </cols>
  <sheetData>
    <row r="1" spans="1:23" s="4" customForma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4" t="s">
        <v>292</v>
      </c>
      <c r="V1" s="4" t="s">
        <v>293</v>
      </c>
      <c r="W1" s="4" t="s">
        <v>294</v>
      </c>
    </row>
    <row r="2" spans="1:23" x14ac:dyDescent="0.35">
      <c r="A2" s="1">
        <v>44</v>
      </c>
      <c r="B2" s="2" t="s">
        <v>17</v>
      </c>
      <c r="C2" s="2" t="s">
        <v>18</v>
      </c>
      <c r="D2" s="1"/>
      <c r="E2" s="1"/>
      <c r="F2" s="2" t="s">
        <v>17</v>
      </c>
      <c r="G2" s="2" t="s">
        <v>19</v>
      </c>
      <c r="H2" s="2" t="s">
        <v>20</v>
      </c>
      <c r="I2" s="1"/>
      <c r="J2" s="1"/>
      <c r="K2" s="1"/>
      <c r="L2" s="2" t="s">
        <v>21</v>
      </c>
      <c r="M2" s="2" t="s">
        <v>22</v>
      </c>
      <c r="N2" s="2" t="s">
        <v>23</v>
      </c>
      <c r="O2" s="2" t="s">
        <v>24</v>
      </c>
      <c r="P2" s="1"/>
      <c r="Q2" s="1"/>
      <c r="R2">
        <v>7</v>
      </c>
      <c r="S2">
        <f t="shared" ref="S2:S25" si="0">R2*A2</f>
        <v>308</v>
      </c>
    </row>
    <row r="3" spans="1:23" x14ac:dyDescent="0.35">
      <c r="A3" s="1">
        <v>9</v>
      </c>
      <c r="B3" s="2" t="s">
        <v>25</v>
      </c>
      <c r="C3" s="2" t="s">
        <v>26</v>
      </c>
      <c r="D3" s="1"/>
      <c r="E3" s="1"/>
      <c r="F3" s="2" t="s">
        <v>25</v>
      </c>
      <c r="G3" s="2" t="s">
        <v>27</v>
      </c>
      <c r="H3" s="2" t="s">
        <v>28</v>
      </c>
      <c r="I3" s="1"/>
      <c r="J3" s="1"/>
      <c r="K3" s="1"/>
      <c r="L3" s="2" t="s">
        <v>21</v>
      </c>
      <c r="M3" s="2" t="s">
        <v>29</v>
      </c>
      <c r="N3" s="1"/>
      <c r="O3" s="1"/>
      <c r="P3" s="1"/>
      <c r="Q3" s="1"/>
      <c r="R3">
        <v>7</v>
      </c>
      <c r="S3">
        <f t="shared" si="0"/>
        <v>63</v>
      </c>
    </row>
    <row r="4" spans="1:23" x14ac:dyDescent="0.35">
      <c r="A4" s="1">
        <v>7</v>
      </c>
      <c r="B4" s="2" t="s">
        <v>30</v>
      </c>
      <c r="C4" s="2" t="s">
        <v>31</v>
      </c>
      <c r="D4" s="1"/>
      <c r="E4" s="1"/>
      <c r="F4" s="2" t="s">
        <v>30</v>
      </c>
      <c r="G4" s="2" t="s">
        <v>32</v>
      </c>
      <c r="H4" s="2" t="s">
        <v>28</v>
      </c>
      <c r="I4" s="1"/>
      <c r="J4" s="1"/>
      <c r="K4" s="1"/>
      <c r="L4" s="2" t="s">
        <v>21</v>
      </c>
      <c r="M4" s="2" t="s">
        <v>33</v>
      </c>
      <c r="N4" s="1"/>
      <c r="O4" s="1"/>
      <c r="P4" s="1"/>
      <c r="Q4" s="1"/>
      <c r="R4">
        <v>7</v>
      </c>
      <c r="S4" s="9">
        <f t="shared" si="0"/>
        <v>49</v>
      </c>
      <c r="T4" t="s">
        <v>304</v>
      </c>
      <c r="V4">
        <v>60</v>
      </c>
      <c r="W4" t="s">
        <v>21</v>
      </c>
    </row>
    <row r="5" spans="1:23" x14ac:dyDescent="0.35">
      <c r="A5" s="1">
        <v>10</v>
      </c>
      <c r="B5" s="2" t="s">
        <v>34</v>
      </c>
      <c r="C5" s="2" t="s">
        <v>35</v>
      </c>
      <c r="D5" s="1"/>
      <c r="E5" s="1"/>
      <c r="F5" s="2" t="s">
        <v>34</v>
      </c>
      <c r="G5" s="2" t="s">
        <v>36</v>
      </c>
      <c r="H5" s="2" t="s">
        <v>37</v>
      </c>
      <c r="I5" s="1"/>
      <c r="J5" s="1"/>
      <c r="K5" s="1"/>
      <c r="L5" s="2" t="s">
        <v>21</v>
      </c>
      <c r="M5" s="2" t="s">
        <v>38</v>
      </c>
      <c r="N5" s="1"/>
      <c r="O5" s="1"/>
      <c r="P5" s="1"/>
      <c r="Q5" s="1"/>
      <c r="R5">
        <v>7</v>
      </c>
      <c r="S5" s="9">
        <f t="shared" si="0"/>
        <v>70</v>
      </c>
      <c r="T5" t="s">
        <v>304</v>
      </c>
      <c r="V5">
        <v>100</v>
      </c>
      <c r="W5" t="s">
        <v>21</v>
      </c>
    </row>
    <row r="6" spans="1:23" x14ac:dyDescent="0.35">
      <c r="A6" s="1">
        <v>10</v>
      </c>
      <c r="B6" s="2" t="s">
        <v>39</v>
      </c>
      <c r="C6" s="2" t="s">
        <v>40</v>
      </c>
      <c r="D6" s="1"/>
      <c r="E6" s="1"/>
      <c r="F6" s="2" t="s">
        <v>39</v>
      </c>
      <c r="G6" s="2" t="s">
        <v>41</v>
      </c>
      <c r="H6" s="2" t="s">
        <v>42</v>
      </c>
      <c r="I6" s="1"/>
      <c r="J6" s="1"/>
      <c r="K6" s="1"/>
      <c r="L6" s="2" t="s">
        <v>21</v>
      </c>
      <c r="M6" s="2" t="s">
        <v>43</v>
      </c>
      <c r="N6" s="1"/>
      <c r="O6" s="1"/>
      <c r="P6" s="1"/>
      <c r="Q6" s="1"/>
      <c r="R6">
        <v>7</v>
      </c>
      <c r="S6" s="9">
        <f t="shared" si="0"/>
        <v>70</v>
      </c>
      <c r="T6" t="s">
        <v>304</v>
      </c>
      <c r="V6">
        <f>S6/7*5</f>
        <v>50</v>
      </c>
      <c r="W6" t="s">
        <v>295</v>
      </c>
    </row>
    <row r="7" spans="1:23" x14ac:dyDescent="0.35">
      <c r="A7" s="1">
        <v>2</v>
      </c>
      <c r="B7" s="2" t="s">
        <v>44</v>
      </c>
      <c r="C7" s="2" t="s">
        <v>45</v>
      </c>
      <c r="D7" s="1"/>
      <c r="E7" s="1"/>
      <c r="F7" s="2" t="s">
        <v>44</v>
      </c>
      <c r="G7" s="2" t="s">
        <v>46</v>
      </c>
      <c r="H7" s="2" t="s">
        <v>47</v>
      </c>
      <c r="I7" s="1"/>
      <c r="J7" s="1"/>
      <c r="K7" s="1"/>
      <c r="L7" s="2" t="s">
        <v>21</v>
      </c>
      <c r="M7" s="2" t="s">
        <v>48</v>
      </c>
      <c r="N7" s="1"/>
      <c r="O7" s="1"/>
      <c r="P7" s="1"/>
      <c r="Q7" s="1"/>
      <c r="R7">
        <v>7</v>
      </c>
      <c r="S7" s="9">
        <f t="shared" si="0"/>
        <v>14</v>
      </c>
      <c r="T7" t="s">
        <v>304</v>
      </c>
      <c r="V7">
        <v>20</v>
      </c>
      <c r="W7" t="s">
        <v>21</v>
      </c>
    </row>
    <row r="8" spans="1:23" x14ac:dyDescent="0.35">
      <c r="A8" s="1">
        <v>15</v>
      </c>
      <c r="B8" s="2" t="s">
        <v>49</v>
      </c>
      <c r="C8" s="2" t="s">
        <v>50</v>
      </c>
      <c r="D8" s="1"/>
      <c r="E8" s="1"/>
      <c r="F8" s="2" t="s">
        <v>49</v>
      </c>
      <c r="G8" s="2" t="s">
        <v>51</v>
      </c>
      <c r="H8" s="2" t="s">
        <v>20</v>
      </c>
      <c r="I8" s="1"/>
      <c r="J8" s="1"/>
      <c r="K8" s="1"/>
      <c r="L8" s="2" t="s">
        <v>52</v>
      </c>
      <c r="M8" s="2" t="s">
        <v>53</v>
      </c>
      <c r="N8" s="1"/>
      <c r="O8" s="1"/>
      <c r="P8" s="1"/>
      <c r="Q8" s="1"/>
      <c r="R8">
        <v>7</v>
      </c>
      <c r="S8">
        <f t="shared" si="0"/>
        <v>105</v>
      </c>
    </row>
    <row r="9" spans="1:23" x14ac:dyDescent="0.35">
      <c r="A9" s="1">
        <v>8</v>
      </c>
      <c r="B9" s="2" t="s">
        <v>54</v>
      </c>
      <c r="C9" s="2" t="s">
        <v>55</v>
      </c>
      <c r="D9" s="1"/>
      <c r="E9" s="1"/>
      <c r="F9" s="2" t="s">
        <v>54</v>
      </c>
      <c r="G9" s="2" t="s">
        <v>56</v>
      </c>
      <c r="H9" s="2" t="s">
        <v>20</v>
      </c>
      <c r="I9" s="1"/>
      <c r="J9" s="1"/>
      <c r="K9" s="1"/>
      <c r="L9" s="2" t="s">
        <v>21</v>
      </c>
      <c r="M9" s="2" t="s">
        <v>57</v>
      </c>
      <c r="N9" s="1"/>
      <c r="O9" s="1"/>
      <c r="P9" s="1"/>
      <c r="Q9" s="1"/>
      <c r="R9">
        <v>7</v>
      </c>
      <c r="S9">
        <f t="shared" si="0"/>
        <v>56</v>
      </c>
    </row>
    <row r="10" spans="1:23" x14ac:dyDescent="0.35">
      <c r="A10" s="1">
        <v>16</v>
      </c>
      <c r="B10" s="2" t="s">
        <v>58</v>
      </c>
      <c r="C10" s="2" t="s">
        <v>59</v>
      </c>
      <c r="D10" s="1"/>
      <c r="E10" s="1"/>
      <c r="F10" s="2" t="s">
        <v>58</v>
      </c>
      <c r="G10" s="2" t="s">
        <v>60</v>
      </c>
      <c r="H10" s="2" t="s">
        <v>20</v>
      </c>
      <c r="I10" s="1"/>
      <c r="J10" s="1"/>
      <c r="K10" s="1"/>
      <c r="L10" s="2" t="s">
        <v>21</v>
      </c>
      <c r="M10" s="2" t="s">
        <v>61</v>
      </c>
      <c r="N10" s="1"/>
      <c r="O10" s="1"/>
      <c r="P10" s="1"/>
      <c r="Q10" s="1"/>
      <c r="R10">
        <v>7</v>
      </c>
      <c r="S10">
        <f t="shared" si="0"/>
        <v>112</v>
      </c>
    </row>
    <row r="11" spans="1:23" x14ac:dyDescent="0.35">
      <c r="A11" s="1">
        <v>12</v>
      </c>
      <c r="B11" s="2" t="s">
        <v>62</v>
      </c>
      <c r="C11" s="2" t="s">
        <v>63</v>
      </c>
      <c r="D11" s="1"/>
      <c r="E11" s="1"/>
      <c r="F11" s="2" t="s">
        <v>62</v>
      </c>
      <c r="G11" s="2" t="s">
        <v>64</v>
      </c>
      <c r="H11" s="2" t="s">
        <v>20</v>
      </c>
      <c r="I11" s="1"/>
      <c r="J11" s="1"/>
      <c r="K11" s="1"/>
      <c r="L11" s="2" t="s">
        <v>23</v>
      </c>
      <c r="M11" s="2" t="s">
        <v>65</v>
      </c>
      <c r="N11" s="2" t="s">
        <v>21</v>
      </c>
      <c r="O11" s="2" t="s">
        <v>66</v>
      </c>
      <c r="P11" s="1"/>
      <c r="Q11" s="1"/>
      <c r="R11">
        <v>7</v>
      </c>
      <c r="S11">
        <f t="shared" si="0"/>
        <v>84</v>
      </c>
    </row>
    <row r="12" spans="1:23" x14ac:dyDescent="0.35">
      <c r="A12" s="1">
        <v>4</v>
      </c>
      <c r="B12" s="2" t="s">
        <v>67</v>
      </c>
      <c r="C12" s="2" t="s">
        <v>68</v>
      </c>
      <c r="D12" s="1"/>
      <c r="E12" s="1"/>
      <c r="F12" s="2" t="s">
        <v>67</v>
      </c>
      <c r="G12" s="2" t="s">
        <v>69</v>
      </c>
      <c r="H12" s="2" t="s">
        <v>20</v>
      </c>
      <c r="I12" s="1"/>
      <c r="J12" s="1"/>
      <c r="K12" s="1"/>
      <c r="L12" s="2" t="s">
        <v>21</v>
      </c>
      <c r="M12" s="2" t="s">
        <v>70</v>
      </c>
      <c r="N12" s="1"/>
      <c r="O12" s="1"/>
      <c r="P12" s="1"/>
      <c r="Q12" s="1"/>
      <c r="R12">
        <v>7</v>
      </c>
      <c r="S12">
        <f t="shared" si="0"/>
        <v>28</v>
      </c>
    </row>
    <row r="13" spans="1:23" x14ac:dyDescent="0.35">
      <c r="A13" s="1">
        <v>1</v>
      </c>
      <c r="B13" s="2" t="s">
        <v>71</v>
      </c>
      <c r="C13" s="2" t="s">
        <v>72</v>
      </c>
      <c r="D13" s="1"/>
      <c r="E13" s="1"/>
      <c r="F13" s="2" t="s">
        <v>71</v>
      </c>
      <c r="G13" s="2" t="s">
        <v>73</v>
      </c>
      <c r="H13" s="2" t="s">
        <v>74</v>
      </c>
      <c r="I13" s="1"/>
      <c r="J13" s="1"/>
      <c r="K13" s="1"/>
      <c r="L13" s="2" t="s">
        <v>21</v>
      </c>
      <c r="M13" s="2" t="s">
        <v>75</v>
      </c>
      <c r="N13" s="1"/>
      <c r="O13" s="1"/>
      <c r="P13" s="1"/>
      <c r="Q13" s="1"/>
      <c r="R13">
        <v>7</v>
      </c>
      <c r="S13" s="9">
        <f t="shared" si="0"/>
        <v>7</v>
      </c>
      <c r="T13" t="s">
        <v>304</v>
      </c>
      <c r="V13">
        <v>10</v>
      </c>
      <c r="W13" t="s">
        <v>21</v>
      </c>
    </row>
    <row r="14" spans="1:23" x14ac:dyDescent="0.35">
      <c r="A14" s="1">
        <v>7</v>
      </c>
      <c r="B14" s="2" t="s">
        <v>76</v>
      </c>
      <c r="C14" s="2" t="s">
        <v>77</v>
      </c>
      <c r="D14" s="1"/>
      <c r="E14" s="1"/>
      <c r="F14" s="1"/>
      <c r="G14" s="2" t="s">
        <v>78</v>
      </c>
      <c r="H14" s="2" t="s">
        <v>79</v>
      </c>
      <c r="I14" s="1"/>
      <c r="J14" s="1"/>
      <c r="K14" s="1"/>
      <c r="L14" s="2" t="s">
        <v>21</v>
      </c>
      <c r="M14" s="2" t="s">
        <v>80</v>
      </c>
      <c r="N14" s="2" t="s">
        <v>81</v>
      </c>
      <c r="O14" s="2" t="s">
        <v>82</v>
      </c>
      <c r="P14" s="2" t="s">
        <v>83</v>
      </c>
      <c r="Q14" s="2" t="s">
        <v>84</v>
      </c>
      <c r="R14">
        <v>7</v>
      </c>
      <c r="S14">
        <f t="shared" si="0"/>
        <v>49</v>
      </c>
    </row>
    <row r="15" spans="1:23" x14ac:dyDescent="0.35">
      <c r="A15" s="1">
        <v>6</v>
      </c>
      <c r="B15" s="2" t="s">
        <v>85</v>
      </c>
      <c r="C15" s="2" t="s">
        <v>86</v>
      </c>
      <c r="D15" s="1"/>
      <c r="E15" s="1"/>
      <c r="F15" s="1"/>
      <c r="G15" s="2" t="s">
        <v>87</v>
      </c>
      <c r="H15" s="2" t="s">
        <v>79</v>
      </c>
      <c r="I15" s="1"/>
      <c r="J15" s="1"/>
      <c r="K15" s="1"/>
      <c r="L15" s="2" t="s">
        <v>21</v>
      </c>
      <c r="M15" s="2" t="s">
        <v>88</v>
      </c>
      <c r="N15" s="2" t="s">
        <v>81</v>
      </c>
      <c r="O15" s="2" t="s">
        <v>89</v>
      </c>
      <c r="P15" s="2" t="s">
        <v>83</v>
      </c>
      <c r="Q15" s="2" t="s">
        <v>90</v>
      </c>
      <c r="R15">
        <v>7</v>
      </c>
      <c r="S15">
        <f t="shared" si="0"/>
        <v>42</v>
      </c>
    </row>
    <row r="16" spans="1:23" x14ac:dyDescent="0.35">
      <c r="A16" s="1">
        <v>1</v>
      </c>
      <c r="B16" s="2" t="s">
        <v>91</v>
      </c>
      <c r="C16" s="2" t="s">
        <v>92</v>
      </c>
      <c r="D16" s="1"/>
      <c r="E16" s="1"/>
      <c r="F16" s="2" t="s">
        <v>93</v>
      </c>
      <c r="G16" s="2" t="s">
        <v>94</v>
      </c>
      <c r="H16" s="2" t="s">
        <v>95</v>
      </c>
      <c r="I16" s="1"/>
      <c r="J16" s="1"/>
      <c r="K16" s="1"/>
      <c r="L16" s="2" t="s">
        <v>21</v>
      </c>
      <c r="M16" s="2" t="s">
        <v>96</v>
      </c>
      <c r="N16" s="1"/>
      <c r="O16" s="1"/>
      <c r="P16" s="1"/>
      <c r="Q16" s="1"/>
      <c r="R16">
        <v>7</v>
      </c>
      <c r="S16">
        <f t="shared" si="0"/>
        <v>7</v>
      </c>
    </row>
    <row r="17" spans="1:23" x14ac:dyDescent="0.35">
      <c r="A17" s="1">
        <v>1</v>
      </c>
      <c r="B17" s="2" t="s">
        <v>97</v>
      </c>
      <c r="C17" s="2" t="s">
        <v>98</v>
      </c>
      <c r="D17" s="1"/>
      <c r="E17" s="1"/>
      <c r="F17" s="2" t="s">
        <v>99</v>
      </c>
      <c r="G17" s="2" t="s">
        <v>100</v>
      </c>
      <c r="H17" s="2" t="s">
        <v>101</v>
      </c>
      <c r="I17" s="1"/>
      <c r="J17" s="1"/>
      <c r="K17" s="1"/>
      <c r="L17" s="2" t="s">
        <v>21</v>
      </c>
      <c r="M17" s="2" t="s">
        <v>102</v>
      </c>
      <c r="N17" s="1"/>
      <c r="O17" s="1"/>
      <c r="P17" s="1"/>
      <c r="Q17" s="1"/>
      <c r="R17">
        <v>7</v>
      </c>
      <c r="S17" s="9">
        <f t="shared" si="0"/>
        <v>7</v>
      </c>
      <c r="T17" t="s">
        <v>304</v>
      </c>
      <c r="V17">
        <v>10</v>
      </c>
      <c r="W17" t="s">
        <v>21</v>
      </c>
    </row>
    <row r="18" spans="1:23" x14ac:dyDescent="0.35">
      <c r="A18" s="1">
        <v>1</v>
      </c>
      <c r="B18" s="2" t="s">
        <v>103</v>
      </c>
      <c r="C18" s="2" t="s">
        <v>104</v>
      </c>
      <c r="D18" s="1"/>
      <c r="E18" s="1"/>
      <c r="F18" s="1"/>
      <c r="G18" s="2" t="s">
        <v>105</v>
      </c>
      <c r="H18" s="2" t="s">
        <v>106</v>
      </c>
      <c r="I18" s="1"/>
      <c r="J18" s="1"/>
      <c r="K18" s="1"/>
      <c r="L18" s="2" t="s">
        <v>21</v>
      </c>
      <c r="M18" s="2" t="s">
        <v>107</v>
      </c>
      <c r="N18" s="1"/>
      <c r="O18" s="1"/>
      <c r="P18" s="1"/>
      <c r="Q18" s="1"/>
      <c r="R18">
        <v>7</v>
      </c>
      <c r="S18" s="9">
        <f t="shared" si="0"/>
        <v>7</v>
      </c>
      <c r="V18">
        <v>10</v>
      </c>
    </row>
    <row r="19" spans="1:23" x14ac:dyDescent="0.35">
      <c r="A19" s="1">
        <v>1</v>
      </c>
      <c r="B19" s="2" t="s">
        <v>108</v>
      </c>
      <c r="C19" s="2" t="s">
        <v>109</v>
      </c>
      <c r="D19" s="1"/>
      <c r="E19" s="1"/>
      <c r="F19" s="2" t="s">
        <v>110</v>
      </c>
      <c r="G19" s="2" t="s">
        <v>111</v>
      </c>
      <c r="H19" s="2" t="s">
        <v>112</v>
      </c>
      <c r="I19" s="1"/>
      <c r="J19" s="1"/>
      <c r="K19" s="1"/>
      <c r="L19" s="2" t="s">
        <v>21</v>
      </c>
      <c r="M19" s="2" t="s">
        <v>113</v>
      </c>
      <c r="N19" s="1"/>
      <c r="O19" s="1"/>
      <c r="P19" s="1"/>
      <c r="Q19" s="1"/>
      <c r="R19">
        <v>7</v>
      </c>
      <c r="S19" s="9">
        <f t="shared" si="0"/>
        <v>7</v>
      </c>
      <c r="T19" t="s">
        <v>304</v>
      </c>
      <c r="V19">
        <v>5</v>
      </c>
      <c r="W19" t="s">
        <v>297</v>
      </c>
    </row>
    <row r="20" spans="1:23" x14ac:dyDescent="0.35">
      <c r="A20" s="5">
        <v>1</v>
      </c>
      <c r="B20" s="6" t="s">
        <v>114</v>
      </c>
      <c r="C20" s="6" t="s">
        <v>115</v>
      </c>
      <c r="D20" s="5"/>
      <c r="E20" s="5"/>
      <c r="F20" s="6" t="s">
        <v>110</v>
      </c>
      <c r="G20" s="6" t="s">
        <v>116</v>
      </c>
      <c r="H20" s="6" t="s">
        <v>112</v>
      </c>
      <c r="I20" s="5"/>
      <c r="J20" s="5"/>
      <c r="K20" s="5"/>
      <c r="L20" s="6" t="s">
        <v>83</v>
      </c>
      <c r="M20" s="6" t="s">
        <v>117</v>
      </c>
      <c r="N20" s="5"/>
      <c r="O20" s="5"/>
      <c r="P20" s="5"/>
      <c r="Q20" s="5"/>
      <c r="R20">
        <v>7</v>
      </c>
      <c r="S20" s="9">
        <f t="shared" si="0"/>
        <v>7</v>
      </c>
      <c r="T20" t="s">
        <v>304</v>
      </c>
      <c r="V20" s="7">
        <v>6</v>
      </c>
      <c r="W20" s="7" t="s">
        <v>298</v>
      </c>
    </row>
    <row r="21" spans="1:23" x14ac:dyDescent="0.35">
      <c r="A21" s="1">
        <v>1</v>
      </c>
      <c r="B21" s="2" t="s">
        <v>118</v>
      </c>
      <c r="C21" s="2" t="s">
        <v>119</v>
      </c>
      <c r="D21" s="1"/>
      <c r="E21" s="1"/>
      <c r="F21" s="2" t="s">
        <v>120</v>
      </c>
      <c r="G21" s="2" t="s">
        <v>121</v>
      </c>
      <c r="H21" s="2" t="s">
        <v>118</v>
      </c>
      <c r="I21" s="1"/>
      <c r="J21" s="1"/>
      <c r="K21" s="1"/>
      <c r="L21" s="2" t="s">
        <v>21</v>
      </c>
      <c r="M21" s="2" t="s">
        <v>122</v>
      </c>
      <c r="N21" s="1"/>
      <c r="O21" s="1"/>
      <c r="P21" s="1"/>
      <c r="Q21" s="1"/>
      <c r="R21">
        <v>7</v>
      </c>
      <c r="S21" s="9">
        <f t="shared" si="0"/>
        <v>7</v>
      </c>
      <c r="T21" t="s">
        <v>304</v>
      </c>
      <c r="V21">
        <v>5</v>
      </c>
      <c r="W21" t="s">
        <v>296</v>
      </c>
    </row>
    <row r="22" spans="1:23" x14ac:dyDescent="0.35">
      <c r="A22" s="5">
        <v>1</v>
      </c>
      <c r="B22" s="6" t="s">
        <v>123</v>
      </c>
      <c r="C22" s="6" t="s">
        <v>124</v>
      </c>
      <c r="D22" s="5"/>
      <c r="E22" s="5"/>
      <c r="F22" s="5"/>
      <c r="G22" s="6" t="s">
        <v>125</v>
      </c>
      <c r="H22" s="6" t="s">
        <v>126</v>
      </c>
      <c r="I22" s="5"/>
      <c r="J22" s="5"/>
      <c r="K22" s="5"/>
      <c r="L22" s="6" t="s">
        <v>21</v>
      </c>
      <c r="M22" s="6" t="s">
        <v>127</v>
      </c>
      <c r="N22" s="5"/>
      <c r="O22" s="5"/>
      <c r="P22" s="5"/>
      <c r="Q22" s="5"/>
      <c r="R22">
        <v>7</v>
      </c>
      <c r="S22" s="9">
        <f t="shared" si="0"/>
        <v>7</v>
      </c>
      <c r="V22">
        <v>10</v>
      </c>
    </row>
    <row r="23" spans="1:23" x14ac:dyDescent="0.35">
      <c r="A23" s="1">
        <v>8</v>
      </c>
      <c r="B23" s="2" t="s">
        <v>128</v>
      </c>
      <c r="C23" s="2" t="s">
        <v>129</v>
      </c>
      <c r="D23" s="1"/>
      <c r="E23" s="1"/>
      <c r="F23" s="2" t="s">
        <v>130</v>
      </c>
      <c r="G23" s="2" t="s">
        <v>131</v>
      </c>
      <c r="H23" s="2" t="s">
        <v>132</v>
      </c>
      <c r="I23" s="1"/>
      <c r="J23" s="1"/>
      <c r="K23" s="1"/>
      <c r="L23" s="2" t="s">
        <v>21</v>
      </c>
      <c r="M23" s="2" t="s">
        <v>133</v>
      </c>
      <c r="N23" s="1"/>
      <c r="O23" s="1"/>
      <c r="P23" s="1"/>
      <c r="Q23" s="1"/>
      <c r="R23">
        <v>7</v>
      </c>
      <c r="S23">
        <f t="shared" si="0"/>
        <v>56</v>
      </c>
      <c r="V23">
        <v>50</v>
      </c>
    </row>
    <row r="24" spans="1:23" x14ac:dyDescent="0.35">
      <c r="A24" s="5">
        <v>4</v>
      </c>
      <c r="B24" s="6" t="s">
        <v>134</v>
      </c>
      <c r="C24" s="6" t="s">
        <v>135</v>
      </c>
      <c r="D24" s="5"/>
      <c r="E24" s="5"/>
      <c r="F24" s="6" t="s">
        <v>136</v>
      </c>
      <c r="G24" s="6" t="s">
        <v>137</v>
      </c>
      <c r="H24" s="6" t="s">
        <v>138</v>
      </c>
      <c r="I24" s="5"/>
      <c r="J24" s="5"/>
      <c r="K24" s="5"/>
      <c r="L24" s="6" t="s">
        <v>139</v>
      </c>
      <c r="M24" s="6" t="s">
        <v>140</v>
      </c>
      <c r="N24" s="5"/>
      <c r="O24" s="5"/>
      <c r="P24" s="5"/>
      <c r="Q24" s="5"/>
      <c r="R24">
        <v>7</v>
      </c>
      <c r="S24" s="7">
        <f t="shared" si="0"/>
        <v>28</v>
      </c>
      <c r="T24" t="s">
        <v>304</v>
      </c>
      <c r="V24" s="8">
        <v>20</v>
      </c>
      <c r="W24" s="8" t="s">
        <v>305</v>
      </c>
    </row>
    <row r="25" spans="1:23" x14ac:dyDescent="0.35">
      <c r="A25" s="1">
        <v>9</v>
      </c>
      <c r="B25" s="2" t="s">
        <v>141</v>
      </c>
      <c r="C25" s="2" t="s">
        <v>142</v>
      </c>
      <c r="D25" s="1"/>
      <c r="E25" s="1"/>
      <c r="F25" s="2" t="s">
        <v>143</v>
      </c>
      <c r="G25" s="2" t="s">
        <v>144</v>
      </c>
      <c r="H25" s="2" t="s">
        <v>145</v>
      </c>
      <c r="I25" s="1"/>
      <c r="J25" s="1"/>
      <c r="K25" s="1"/>
      <c r="L25" s="2" t="s">
        <v>21</v>
      </c>
      <c r="M25" s="2" t="s">
        <v>146</v>
      </c>
      <c r="N25" s="1"/>
      <c r="O25" s="1"/>
      <c r="P25" s="1"/>
      <c r="Q25" s="1"/>
      <c r="R25">
        <v>7</v>
      </c>
      <c r="S25">
        <f t="shared" si="0"/>
        <v>63</v>
      </c>
      <c r="V25">
        <v>70</v>
      </c>
    </row>
    <row r="26" spans="1:23" x14ac:dyDescent="0.35">
      <c r="A26" s="5">
        <v>4</v>
      </c>
      <c r="B26" s="6" t="s">
        <v>147</v>
      </c>
      <c r="C26" s="6" t="s">
        <v>148</v>
      </c>
      <c r="D26" s="5"/>
      <c r="E26" s="5"/>
      <c r="F26" s="5"/>
      <c r="G26" s="6" t="s">
        <v>149</v>
      </c>
      <c r="H26" s="6" t="s">
        <v>150</v>
      </c>
      <c r="I26" s="5"/>
      <c r="J26" s="5"/>
      <c r="K26" s="5"/>
      <c r="L26" s="6" t="s">
        <v>21</v>
      </c>
      <c r="M26" s="6" t="s">
        <v>151</v>
      </c>
      <c r="N26" s="5"/>
      <c r="O26" s="5"/>
      <c r="P26" s="5"/>
      <c r="Q26" s="5"/>
      <c r="R26">
        <v>7</v>
      </c>
      <c r="S26" s="9">
        <f>R26*A26</f>
        <v>28</v>
      </c>
      <c r="T26" t="s">
        <v>304</v>
      </c>
      <c r="V26" s="7">
        <v>35</v>
      </c>
      <c r="W26" s="7" t="s">
        <v>299</v>
      </c>
    </row>
    <row r="27" spans="1:23" x14ac:dyDescent="0.35">
      <c r="A27" s="1">
        <v>4</v>
      </c>
      <c r="B27" s="2" t="s">
        <v>152</v>
      </c>
      <c r="C27" s="2" t="s">
        <v>153</v>
      </c>
      <c r="D27" s="1"/>
      <c r="E27" s="1"/>
      <c r="F27" s="2" t="s">
        <v>143</v>
      </c>
      <c r="G27" s="2" t="s">
        <v>154</v>
      </c>
      <c r="H27" s="2" t="s">
        <v>155</v>
      </c>
      <c r="I27" s="1"/>
      <c r="J27" s="1"/>
      <c r="K27" s="1"/>
      <c r="L27" s="2" t="s">
        <v>21</v>
      </c>
      <c r="M27" s="2" t="s">
        <v>156</v>
      </c>
      <c r="N27" s="2" t="s">
        <v>83</v>
      </c>
      <c r="O27" s="2" t="s">
        <v>157</v>
      </c>
      <c r="P27" s="1"/>
      <c r="Q27" s="1"/>
      <c r="R27">
        <v>7</v>
      </c>
      <c r="S27" s="9">
        <f t="shared" ref="S27:S56" si="1">R27*A27</f>
        <v>28</v>
      </c>
      <c r="T27" t="s">
        <v>304</v>
      </c>
      <c r="V27" s="7">
        <v>10</v>
      </c>
      <c r="W27" s="7" t="s">
        <v>300</v>
      </c>
    </row>
    <row r="28" spans="1:23" x14ac:dyDescent="0.35">
      <c r="A28" s="1">
        <v>7</v>
      </c>
      <c r="B28" s="2" t="s">
        <v>158</v>
      </c>
      <c r="C28" s="2" t="s">
        <v>159</v>
      </c>
      <c r="D28" s="2" t="s">
        <v>160</v>
      </c>
      <c r="E28" s="2" t="s">
        <v>158</v>
      </c>
      <c r="F28" s="1"/>
      <c r="G28" s="2" t="s">
        <v>161</v>
      </c>
      <c r="H28" s="2" t="s">
        <v>162</v>
      </c>
      <c r="I28" s="1"/>
      <c r="J28" s="1"/>
      <c r="K28" s="1"/>
      <c r="L28" s="2" t="s">
        <v>21</v>
      </c>
      <c r="M28" s="2" t="s">
        <v>163</v>
      </c>
      <c r="N28" s="2" t="s">
        <v>83</v>
      </c>
      <c r="O28" s="1"/>
      <c r="P28" s="1"/>
      <c r="Q28" s="1"/>
      <c r="R28">
        <v>7</v>
      </c>
      <c r="S28" s="9">
        <f t="shared" si="1"/>
        <v>49</v>
      </c>
      <c r="T28" t="s">
        <v>304</v>
      </c>
      <c r="V28">
        <v>35</v>
      </c>
    </row>
    <row r="29" spans="1:23" x14ac:dyDescent="0.35">
      <c r="A29" s="1">
        <v>2</v>
      </c>
      <c r="B29" s="2" t="s">
        <v>164</v>
      </c>
      <c r="C29" s="2" t="s">
        <v>165</v>
      </c>
      <c r="D29" s="2" t="s">
        <v>166</v>
      </c>
      <c r="E29" s="2" t="s">
        <v>164</v>
      </c>
      <c r="F29" s="1"/>
      <c r="G29" s="2" t="s">
        <v>167</v>
      </c>
      <c r="H29" s="2" t="s">
        <v>162</v>
      </c>
      <c r="I29" s="1"/>
      <c r="J29" s="1"/>
      <c r="K29" s="1"/>
      <c r="L29" s="2" t="s">
        <v>21</v>
      </c>
      <c r="M29" s="2" t="s">
        <v>168</v>
      </c>
      <c r="N29" s="2" t="s">
        <v>83</v>
      </c>
      <c r="O29" s="2" t="s">
        <v>169</v>
      </c>
      <c r="P29" s="1"/>
      <c r="Q29" s="1"/>
      <c r="R29">
        <v>7</v>
      </c>
      <c r="S29" s="9">
        <f t="shared" si="1"/>
        <v>14</v>
      </c>
      <c r="T29" t="s">
        <v>304</v>
      </c>
      <c r="V29">
        <v>10</v>
      </c>
    </row>
    <row r="30" spans="1:23" x14ac:dyDescent="0.35">
      <c r="A30" s="5">
        <v>3</v>
      </c>
      <c r="B30" s="6" t="s">
        <v>170</v>
      </c>
      <c r="C30" s="6" t="s">
        <v>171</v>
      </c>
      <c r="D30" s="5"/>
      <c r="E30" s="5"/>
      <c r="F30" s="6" t="s">
        <v>172</v>
      </c>
      <c r="G30" s="6" t="s">
        <v>173</v>
      </c>
      <c r="H30" s="6" t="s">
        <v>174</v>
      </c>
      <c r="I30" s="5"/>
      <c r="J30" s="5"/>
      <c r="K30" s="5"/>
      <c r="L30" s="6" t="s">
        <v>83</v>
      </c>
      <c r="M30" s="6" t="s">
        <v>175</v>
      </c>
      <c r="N30" s="6" t="s">
        <v>176</v>
      </c>
      <c r="O30" s="6" t="s">
        <v>177</v>
      </c>
      <c r="P30" s="5"/>
      <c r="Q30" s="5"/>
      <c r="R30">
        <v>7</v>
      </c>
      <c r="S30" s="9">
        <f t="shared" si="1"/>
        <v>21</v>
      </c>
      <c r="T30" t="s">
        <v>304</v>
      </c>
      <c r="V30">
        <v>15</v>
      </c>
      <c r="W30" t="s">
        <v>301</v>
      </c>
    </row>
    <row r="31" spans="1:23" x14ac:dyDescent="0.35">
      <c r="A31" s="5">
        <v>2</v>
      </c>
      <c r="B31" s="6" t="s">
        <v>178</v>
      </c>
      <c r="C31" s="6" t="s">
        <v>179</v>
      </c>
      <c r="D31" s="5"/>
      <c r="E31" s="5"/>
      <c r="F31" s="6" t="s">
        <v>180</v>
      </c>
      <c r="G31" s="6" t="s">
        <v>181</v>
      </c>
      <c r="H31" s="6" t="s">
        <v>174</v>
      </c>
      <c r="I31" s="5"/>
      <c r="J31" s="5"/>
      <c r="K31" s="5"/>
      <c r="L31" s="6" t="s">
        <v>83</v>
      </c>
      <c r="M31" s="6" t="s">
        <v>182</v>
      </c>
      <c r="N31" s="6" t="s">
        <v>176</v>
      </c>
      <c r="O31" s="6" t="s">
        <v>183</v>
      </c>
      <c r="P31" s="5"/>
      <c r="Q31" s="5"/>
      <c r="R31">
        <v>7</v>
      </c>
      <c r="S31" s="9">
        <f t="shared" si="1"/>
        <v>14</v>
      </c>
      <c r="T31" t="s">
        <v>304</v>
      </c>
      <c r="V31">
        <v>10</v>
      </c>
      <c r="W31" t="s">
        <v>302</v>
      </c>
    </row>
    <row r="32" spans="1:23" x14ac:dyDescent="0.35">
      <c r="A32" s="5">
        <v>2</v>
      </c>
      <c r="B32" s="6" t="s">
        <v>184</v>
      </c>
      <c r="C32" s="6" t="s">
        <v>185</v>
      </c>
      <c r="D32" s="5"/>
      <c r="E32" s="5"/>
      <c r="F32" s="6" t="s">
        <v>186</v>
      </c>
      <c r="G32" s="6" t="s">
        <v>187</v>
      </c>
      <c r="H32" s="6" t="s">
        <v>174</v>
      </c>
      <c r="I32" s="5"/>
      <c r="J32" s="5"/>
      <c r="K32" s="5"/>
      <c r="L32" s="6" t="s">
        <v>83</v>
      </c>
      <c r="M32" s="6" t="s">
        <v>188</v>
      </c>
      <c r="N32" s="6" t="s">
        <v>176</v>
      </c>
      <c r="O32" s="6" t="s">
        <v>189</v>
      </c>
      <c r="P32" s="5"/>
      <c r="Q32" s="5"/>
      <c r="R32">
        <v>7</v>
      </c>
      <c r="S32" s="9">
        <f t="shared" si="1"/>
        <v>14</v>
      </c>
      <c r="T32" t="s">
        <v>304</v>
      </c>
      <c r="V32">
        <v>1</v>
      </c>
      <c r="W32" t="s">
        <v>303</v>
      </c>
    </row>
    <row r="33" spans="1:23" x14ac:dyDescent="0.35">
      <c r="A33" s="5">
        <v>1</v>
      </c>
      <c r="B33" s="6" t="s">
        <v>190</v>
      </c>
      <c r="C33" s="6" t="s">
        <v>191</v>
      </c>
      <c r="D33" s="5"/>
      <c r="E33" s="5"/>
      <c r="F33" s="5"/>
      <c r="G33" s="6" t="s">
        <v>192</v>
      </c>
      <c r="H33" s="6" t="s">
        <v>193</v>
      </c>
      <c r="I33" s="5"/>
      <c r="J33" s="5"/>
      <c r="K33" s="5"/>
      <c r="L33" s="6" t="s">
        <v>81</v>
      </c>
      <c r="M33" s="6" t="s">
        <v>194</v>
      </c>
      <c r="N33" s="5"/>
      <c r="O33" s="5"/>
      <c r="P33" s="5"/>
      <c r="Q33" s="5"/>
      <c r="R33">
        <v>7</v>
      </c>
      <c r="S33" s="9">
        <f t="shared" si="1"/>
        <v>7</v>
      </c>
      <c r="T33" t="s">
        <v>304</v>
      </c>
      <c r="V33">
        <v>10</v>
      </c>
      <c r="W33" t="s">
        <v>81</v>
      </c>
    </row>
    <row r="34" spans="1:23" x14ac:dyDescent="0.35">
      <c r="A34" s="1">
        <v>1</v>
      </c>
      <c r="B34" s="2" t="s">
        <v>195</v>
      </c>
      <c r="C34" s="2" t="s">
        <v>196</v>
      </c>
      <c r="D34" s="2" t="s">
        <v>197</v>
      </c>
      <c r="E34" s="2" t="s">
        <v>198</v>
      </c>
      <c r="F34" s="2" t="s">
        <v>199</v>
      </c>
      <c r="G34" s="2" t="s">
        <v>200</v>
      </c>
      <c r="H34" s="2" t="s">
        <v>201</v>
      </c>
      <c r="I34" s="1"/>
      <c r="J34" s="1"/>
      <c r="K34" s="1"/>
      <c r="L34" s="2" t="s">
        <v>21</v>
      </c>
      <c r="M34" s="2" t="s">
        <v>202</v>
      </c>
      <c r="N34" s="1"/>
      <c r="O34" s="1"/>
      <c r="P34" s="1"/>
      <c r="Q34" s="1"/>
      <c r="R34">
        <v>7</v>
      </c>
      <c r="S34" s="9">
        <f t="shared" si="1"/>
        <v>7</v>
      </c>
      <c r="T34" t="s">
        <v>304</v>
      </c>
      <c r="V34">
        <v>20</v>
      </c>
      <c r="W34" t="s">
        <v>21</v>
      </c>
    </row>
    <row r="35" spans="1:23" x14ac:dyDescent="0.35">
      <c r="A35" s="1">
        <v>2</v>
      </c>
      <c r="B35" s="2" t="s">
        <v>203</v>
      </c>
      <c r="C35" s="2" t="s">
        <v>204</v>
      </c>
      <c r="D35" s="2" t="s">
        <v>197</v>
      </c>
      <c r="E35" s="2" t="s">
        <v>198</v>
      </c>
      <c r="F35" s="2" t="s">
        <v>205</v>
      </c>
      <c r="G35" s="2" t="s">
        <v>206</v>
      </c>
      <c r="H35" s="2" t="s">
        <v>207</v>
      </c>
      <c r="I35" s="1"/>
      <c r="J35" s="1"/>
      <c r="K35" s="1"/>
      <c r="L35" s="2" t="s">
        <v>21</v>
      </c>
      <c r="M35" s="2" t="s">
        <v>208</v>
      </c>
      <c r="N35" s="1"/>
      <c r="O35" s="1"/>
      <c r="P35" s="1"/>
      <c r="Q35" s="1"/>
      <c r="R35">
        <v>7</v>
      </c>
      <c r="S35">
        <f t="shared" si="1"/>
        <v>14</v>
      </c>
      <c r="V35">
        <v>25</v>
      </c>
    </row>
    <row r="36" spans="1:23" x14ac:dyDescent="0.35">
      <c r="A36" s="5">
        <v>1</v>
      </c>
      <c r="B36" s="6" t="s">
        <v>209</v>
      </c>
      <c r="C36" s="6" t="s">
        <v>210</v>
      </c>
      <c r="D36" s="5"/>
      <c r="E36" s="5"/>
      <c r="F36" s="5"/>
      <c r="G36" s="6" t="s">
        <v>211</v>
      </c>
      <c r="H36" s="6" t="s">
        <v>212</v>
      </c>
      <c r="I36" s="5"/>
      <c r="J36" s="5"/>
      <c r="K36" s="5"/>
      <c r="L36" s="6" t="s">
        <v>21</v>
      </c>
      <c r="M36" s="6" t="s">
        <v>213</v>
      </c>
      <c r="N36" s="5"/>
      <c r="O36" s="5"/>
      <c r="P36" s="5"/>
      <c r="Q36" s="5"/>
      <c r="R36">
        <v>7</v>
      </c>
      <c r="S36" s="9">
        <f t="shared" si="1"/>
        <v>7</v>
      </c>
      <c r="T36" t="s">
        <v>304</v>
      </c>
      <c r="V36" s="7">
        <v>10</v>
      </c>
      <c r="W36" s="7" t="s">
        <v>81</v>
      </c>
    </row>
    <row r="37" spans="1:23" x14ac:dyDescent="0.35">
      <c r="A37" s="1">
        <v>1</v>
      </c>
      <c r="B37" s="2" t="s">
        <v>214</v>
      </c>
      <c r="C37" s="2" t="s">
        <v>215</v>
      </c>
      <c r="D37" s="1"/>
      <c r="E37" s="1"/>
      <c r="F37" s="2" t="s">
        <v>216</v>
      </c>
      <c r="G37" s="2" t="s">
        <v>217</v>
      </c>
      <c r="H37" s="2" t="s">
        <v>74</v>
      </c>
      <c r="I37" s="1"/>
      <c r="J37" s="1"/>
      <c r="K37" s="1"/>
      <c r="L37" s="2" t="s">
        <v>21</v>
      </c>
      <c r="M37" s="2" t="s">
        <v>218</v>
      </c>
      <c r="N37" s="2" t="s">
        <v>83</v>
      </c>
      <c r="O37" s="2" t="s">
        <v>219</v>
      </c>
      <c r="P37" s="1"/>
      <c r="Q37" s="1"/>
      <c r="R37">
        <v>7</v>
      </c>
      <c r="S37">
        <f t="shared" si="1"/>
        <v>7</v>
      </c>
      <c r="V37">
        <v>10</v>
      </c>
    </row>
    <row r="38" spans="1:23" x14ac:dyDescent="0.35">
      <c r="A38" s="1">
        <v>2</v>
      </c>
      <c r="B38" s="2" t="s">
        <v>220</v>
      </c>
      <c r="C38" s="2" t="s">
        <v>221</v>
      </c>
      <c r="D38" s="1"/>
      <c r="E38" s="1"/>
      <c r="F38" s="2" t="s">
        <v>220</v>
      </c>
      <c r="G38" s="2" t="s">
        <v>222</v>
      </c>
      <c r="H38" s="2" t="s">
        <v>223</v>
      </c>
      <c r="I38" s="1"/>
      <c r="J38" s="1"/>
      <c r="K38" s="1"/>
      <c r="L38" s="2" t="s">
        <v>21</v>
      </c>
      <c r="M38" s="2" t="s">
        <v>224</v>
      </c>
      <c r="N38" s="1"/>
      <c r="O38" s="1"/>
      <c r="P38" s="1"/>
      <c r="Q38" s="1"/>
      <c r="R38">
        <v>7</v>
      </c>
      <c r="S38">
        <f t="shared" si="1"/>
        <v>14</v>
      </c>
    </row>
    <row r="39" spans="1:23" x14ac:dyDescent="0.35">
      <c r="A39" s="1">
        <v>6</v>
      </c>
      <c r="B39" s="2" t="s">
        <v>225</v>
      </c>
      <c r="C39" s="2" t="s">
        <v>226</v>
      </c>
      <c r="D39" s="1"/>
      <c r="E39" s="1"/>
      <c r="F39" s="2" t="s">
        <v>225</v>
      </c>
      <c r="G39" s="2" t="s">
        <v>227</v>
      </c>
      <c r="H39" s="2" t="s">
        <v>223</v>
      </c>
      <c r="I39" s="1"/>
      <c r="J39" s="1"/>
      <c r="K39" s="1"/>
      <c r="L39" s="2" t="s">
        <v>228</v>
      </c>
      <c r="M39" s="2" t="s">
        <v>229</v>
      </c>
      <c r="N39" s="1"/>
      <c r="O39" s="1"/>
      <c r="P39" s="1"/>
      <c r="Q39" s="1"/>
      <c r="R39">
        <v>7</v>
      </c>
      <c r="S39">
        <f t="shared" si="1"/>
        <v>42</v>
      </c>
    </row>
    <row r="40" spans="1:23" x14ac:dyDescent="0.35">
      <c r="A40" s="1">
        <v>3</v>
      </c>
      <c r="B40" s="2" t="s">
        <v>230</v>
      </c>
      <c r="C40" s="2" t="s">
        <v>231</v>
      </c>
      <c r="D40" s="1"/>
      <c r="E40" s="1"/>
      <c r="F40" s="2" t="s">
        <v>230</v>
      </c>
      <c r="G40" s="2" t="s">
        <v>222</v>
      </c>
      <c r="H40" s="2" t="s">
        <v>223</v>
      </c>
      <c r="I40" s="1"/>
      <c r="J40" s="1"/>
      <c r="K40" s="1"/>
      <c r="L40" s="2" t="s">
        <v>21</v>
      </c>
      <c r="M40" s="2" t="s">
        <v>232</v>
      </c>
      <c r="N40" s="1"/>
      <c r="O40" s="1"/>
      <c r="P40" s="1"/>
      <c r="Q40" s="1"/>
      <c r="R40">
        <v>7</v>
      </c>
      <c r="S40">
        <f t="shared" si="1"/>
        <v>21</v>
      </c>
    </row>
    <row r="41" spans="1:23" x14ac:dyDescent="0.35">
      <c r="A41" s="1">
        <v>39</v>
      </c>
      <c r="B41" s="2" t="s">
        <v>233</v>
      </c>
      <c r="C41" s="2" t="s">
        <v>234</v>
      </c>
      <c r="D41" s="1"/>
      <c r="E41" s="1"/>
      <c r="F41" s="2" t="s">
        <v>233</v>
      </c>
      <c r="G41" s="2" t="s">
        <v>222</v>
      </c>
      <c r="H41" s="2" t="s">
        <v>223</v>
      </c>
      <c r="I41" s="1"/>
      <c r="J41" s="1"/>
      <c r="K41" s="1"/>
      <c r="L41" s="2" t="s">
        <v>21</v>
      </c>
      <c r="M41" s="2" t="s">
        <v>235</v>
      </c>
      <c r="N41" s="2" t="s">
        <v>23</v>
      </c>
      <c r="O41" s="2" t="s">
        <v>236</v>
      </c>
      <c r="P41" s="1"/>
      <c r="Q41" s="1"/>
      <c r="R41">
        <v>7</v>
      </c>
      <c r="S41">
        <f t="shared" si="1"/>
        <v>273</v>
      </c>
    </row>
    <row r="42" spans="1:23" x14ac:dyDescent="0.35">
      <c r="A42" s="1">
        <v>1</v>
      </c>
      <c r="B42" s="2" t="s">
        <v>237</v>
      </c>
      <c r="C42" s="2" t="s">
        <v>238</v>
      </c>
      <c r="D42" s="1"/>
      <c r="E42" s="1"/>
      <c r="F42" s="2" t="s">
        <v>237</v>
      </c>
      <c r="G42" s="2" t="s">
        <v>239</v>
      </c>
      <c r="H42" s="2" t="s">
        <v>223</v>
      </c>
      <c r="I42" s="1"/>
      <c r="J42" s="1"/>
      <c r="K42" s="1"/>
      <c r="L42" s="2" t="s">
        <v>21</v>
      </c>
      <c r="M42" s="2" t="s">
        <v>240</v>
      </c>
      <c r="N42" s="1"/>
      <c r="O42" s="1"/>
      <c r="P42" s="1"/>
      <c r="Q42" s="1"/>
      <c r="R42">
        <v>7</v>
      </c>
      <c r="S42">
        <f t="shared" si="1"/>
        <v>7</v>
      </c>
    </row>
    <row r="43" spans="1:23" x14ac:dyDescent="0.35">
      <c r="A43" s="1">
        <v>1</v>
      </c>
      <c r="B43" s="2" t="s">
        <v>241</v>
      </c>
      <c r="C43" s="2" t="s">
        <v>242</v>
      </c>
      <c r="D43" s="1"/>
      <c r="E43" s="1"/>
      <c r="F43" s="2" t="s">
        <v>241</v>
      </c>
      <c r="G43" s="2" t="s">
        <v>243</v>
      </c>
      <c r="H43" s="2" t="s">
        <v>223</v>
      </c>
      <c r="I43" s="1"/>
      <c r="J43" s="1"/>
      <c r="K43" s="1"/>
      <c r="L43" s="2" t="s">
        <v>21</v>
      </c>
      <c r="M43" s="2" t="s">
        <v>244</v>
      </c>
      <c r="N43" s="1"/>
      <c r="O43" s="1"/>
      <c r="P43" s="1"/>
      <c r="Q43" s="1"/>
      <c r="R43">
        <v>7</v>
      </c>
      <c r="S43">
        <f t="shared" si="1"/>
        <v>7</v>
      </c>
    </row>
    <row r="44" spans="1:23" x14ac:dyDescent="0.35">
      <c r="A44" s="1">
        <v>1</v>
      </c>
      <c r="B44" s="2" t="s">
        <v>245</v>
      </c>
      <c r="C44" s="2" t="s">
        <v>246</v>
      </c>
      <c r="D44" s="1"/>
      <c r="E44" s="1"/>
      <c r="F44" s="2" t="s">
        <v>245</v>
      </c>
      <c r="G44" s="2" t="s">
        <v>247</v>
      </c>
      <c r="H44" s="2" t="s">
        <v>248</v>
      </c>
      <c r="I44" s="1"/>
      <c r="J44" s="1"/>
      <c r="K44" s="1"/>
      <c r="L44" s="2" t="s">
        <v>21</v>
      </c>
      <c r="M44" s="2" t="s">
        <v>249</v>
      </c>
      <c r="N44" s="1"/>
      <c r="O44" s="1"/>
      <c r="P44" s="1"/>
      <c r="Q44" s="1"/>
      <c r="R44">
        <v>7</v>
      </c>
      <c r="S44">
        <f t="shared" si="1"/>
        <v>7</v>
      </c>
    </row>
    <row r="45" spans="1:23" x14ac:dyDescent="0.35">
      <c r="A45" s="1">
        <v>1</v>
      </c>
      <c r="B45" s="2" t="s">
        <v>250</v>
      </c>
      <c r="C45" s="2" t="s">
        <v>251</v>
      </c>
      <c r="D45" s="1"/>
      <c r="E45" s="1"/>
      <c r="F45" s="2" t="s">
        <v>250</v>
      </c>
      <c r="G45" s="2" t="s">
        <v>252</v>
      </c>
      <c r="H45" s="2" t="s">
        <v>223</v>
      </c>
      <c r="I45" s="1"/>
      <c r="J45" s="1"/>
      <c r="K45" s="1"/>
      <c r="L45" s="2" t="s">
        <v>21</v>
      </c>
      <c r="M45" s="2" t="s">
        <v>253</v>
      </c>
      <c r="N45" s="1"/>
      <c r="O45" s="1"/>
      <c r="P45" s="1"/>
      <c r="Q45" s="1"/>
      <c r="R45">
        <v>7</v>
      </c>
      <c r="S45">
        <f t="shared" si="1"/>
        <v>7</v>
      </c>
    </row>
    <row r="46" spans="1:23" x14ac:dyDescent="0.35">
      <c r="A46" s="1">
        <v>1</v>
      </c>
      <c r="B46" s="2" t="s">
        <v>254</v>
      </c>
      <c r="C46" s="2" t="s">
        <v>255</v>
      </c>
      <c r="D46" s="1"/>
      <c r="E46" s="1"/>
      <c r="F46" s="2" t="s">
        <v>254</v>
      </c>
      <c r="G46" s="2" t="s">
        <v>252</v>
      </c>
      <c r="H46" s="2" t="s">
        <v>223</v>
      </c>
      <c r="I46" s="1"/>
      <c r="J46" s="1"/>
      <c r="K46" s="1"/>
      <c r="L46" s="2" t="s">
        <v>21</v>
      </c>
      <c r="M46" s="2" t="s">
        <v>256</v>
      </c>
      <c r="N46" s="1"/>
      <c r="O46" s="1"/>
      <c r="P46" s="1"/>
      <c r="Q46" s="1"/>
      <c r="R46">
        <v>7</v>
      </c>
      <c r="S46">
        <f t="shared" si="1"/>
        <v>7</v>
      </c>
    </row>
    <row r="47" spans="1:23" x14ac:dyDescent="0.35">
      <c r="A47" s="1">
        <v>48</v>
      </c>
      <c r="B47" s="2" t="s">
        <v>257</v>
      </c>
      <c r="C47" s="2" t="s">
        <v>258</v>
      </c>
      <c r="D47" s="1"/>
      <c r="E47" s="1"/>
      <c r="F47" s="2" t="s">
        <v>257</v>
      </c>
      <c r="G47" s="2" t="s">
        <v>259</v>
      </c>
      <c r="H47" s="2" t="s">
        <v>260</v>
      </c>
      <c r="I47" s="1"/>
      <c r="J47" s="1"/>
      <c r="K47" s="1"/>
      <c r="L47" s="2" t="s">
        <v>21</v>
      </c>
      <c r="M47" s="2" t="s">
        <v>261</v>
      </c>
      <c r="N47" s="1"/>
      <c r="O47" s="1"/>
      <c r="P47" s="1"/>
      <c r="Q47" s="1"/>
      <c r="R47">
        <v>7</v>
      </c>
      <c r="S47">
        <f t="shared" si="1"/>
        <v>336</v>
      </c>
    </row>
    <row r="48" spans="1:23" x14ac:dyDescent="0.35">
      <c r="A48" s="1">
        <v>16</v>
      </c>
      <c r="B48" s="2" t="s">
        <v>262</v>
      </c>
      <c r="C48" s="2" t="s">
        <v>263</v>
      </c>
      <c r="D48" s="1"/>
      <c r="E48" s="1"/>
      <c r="F48" s="2" t="s">
        <v>262</v>
      </c>
      <c r="G48" s="2" t="s">
        <v>247</v>
      </c>
      <c r="H48" s="2" t="s">
        <v>223</v>
      </c>
      <c r="I48" s="1"/>
      <c r="J48" s="1"/>
      <c r="K48" s="1"/>
      <c r="L48" s="2" t="s">
        <v>21</v>
      </c>
      <c r="M48" s="2" t="s">
        <v>264</v>
      </c>
      <c r="N48" s="1"/>
      <c r="O48" s="1"/>
      <c r="P48" s="1"/>
      <c r="Q48" s="1"/>
      <c r="R48">
        <v>7</v>
      </c>
      <c r="S48">
        <f t="shared" si="1"/>
        <v>112</v>
      </c>
    </row>
    <row r="49" spans="1:19" x14ac:dyDescent="0.35">
      <c r="A49" s="1">
        <v>8</v>
      </c>
      <c r="B49" s="2" t="s">
        <v>265</v>
      </c>
      <c r="C49" s="2" t="s">
        <v>266</v>
      </c>
      <c r="D49" s="1"/>
      <c r="E49" s="1"/>
      <c r="F49" s="2" t="s">
        <v>265</v>
      </c>
      <c r="G49" s="2" t="s">
        <v>267</v>
      </c>
      <c r="H49" s="2" t="s">
        <v>223</v>
      </c>
      <c r="I49" s="1"/>
      <c r="J49" s="1"/>
      <c r="K49" s="1"/>
      <c r="L49" s="2" t="s">
        <v>21</v>
      </c>
      <c r="M49" s="2" t="s">
        <v>268</v>
      </c>
      <c r="N49" s="1"/>
      <c r="O49" s="1"/>
      <c r="P49" s="1"/>
      <c r="Q49" s="1"/>
      <c r="R49">
        <v>7</v>
      </c>
      <c r="S49">
        <f t="shared" si="1"/>
        <v>56</v>
      </c>
    </row>
    <row r="50" spans="1:19" x14ac:dyDescent="0.35">
      <c r="A50" s="1">
        <v>8</v>
      </c>
      <c r="B50" s="2" t="s">
        <v>269</v>
      </c>
      <c r="C50" s="2" t="s">
        <v>270</v>
      </c>
      <c r="D50" s="1"/>
      <c r="E50" s="1"/>
      <c r="F50" s="2" t="s">
        <v>269</v>
      </c>
      <c r="G50" s="2" t="s">
        <v>271</v>
      </c>
      <c r="H50" s="2" t="s">
        <v>223</v>
      </c>
      <c r="I50" s="1"/>
      <c r="J50" s="1"/>
      <c r="K50" s="1"/>
      <c r="L50" s="2" t="s">
        <v>21</v>
      </c>
      <c r="M50" s="2" t="s">
        <v>272</v>
      </c>
      <c r="N50" s="1"/>
      <c r="O50" s="1"/>
      <c r="P50" s="1"/>
      <c r="Q50" s="1"/>
      <c r="R50">
        <v>7</v>
      </c>
      <c r="S50">
        <f t="shared" si="1"/>
        <v>56</v>
      </c>
    </row>
    <row r="51" spans="1:19" x14ac:dyDescent="0.35">
      <c r="A51" s="1">
        <v>8</v>
      </c>
      <c r="B51" s="2" t="s">
        <v>273</v>
      </c>
      <c r="C51" s="2" t="s">
        <v>274</v>
      </c>
      <c r="D51" s="1"/>
      <c r="E51" s="1"/>
      <c r="F51" s="2" t="s">
        <v>273</v>
      </c>
      <c r="G51" s="2" t="s">
        <v>271</v>
      </c>
      <c r="H51" s="2" t="s">
        <v>223</v>
      </c>
      <c r="I51" s="1"/>
      <c r="J51" s="1"/>
      <c r="K51" s="1"/>
      <c r="L51" s="2" t="s">
        <v>21</v>
      </c>
      <c r="M51" s="2" t="s">
        <v>275</v>
      </c>
      <c r="N51" s="1"/>
      <c r="O51" s="1"/>
      <c r="P51" s="1"/>
      <c r="Q51" s="1"/>
      <c r="R51">
        <v>7</v>
      </c>
      <c r="S51">
        <f t="shared" si="1"/>
        <v>56</v>
      </c>
    </row>
    <row r="52" spans="1:19" x14ac:dyDescent="0.35">
      <c r="A52" s="1">
        <v>7</v>
      </c>
      <c r="B52" s="2" t="s">
        <v>276</v>
      </c>
      <c r="C52" s="2" t="s">
        <v>277</v>
      </c>
      <c r="D52" s="1"/>
      <c r="E52" s="1"/>
      <c r="F52" s="2" t="s">
        <v>276</v>
      </c>
      <c r="G52" s="2" t="s">
        <v>222</v>
      </c>
      <c r="H52" s="2" t="s">
        <v>223</v>
      </c>
      <c r="I52" s="1"/>
      <c r="J52" s="1"/>
      <c r="K52" s="1"/>
      <c r="L52" s="2" t="s">
        <v>21</v>
      </c>
      <c r="M52" s="2" t="s">
        <v>278</v>
      </c>
      <c r="N52" s="1"/>
      <c r="O52" s="1"/>
      <c r="P52" s="1"/>
      <c r="Q52" s="1"/>
      <c r="R52">
        <v>7</v>
      </c>
      <c r="S52">
        <f t="shared" si="1"/>
        <v>49</v>
      </c>
    </row>
    <row r="53" spans="1:19" x14ac:dyDescent="0.35">
      <c r="A53" s="1">
        <v>12</v>
      </c>
      <c r="B53" s="2" t="s">
        <v>279</v>
      </c>
      <c r="C53" s="2" t="s">
        <v>280</v>
      </c>
      <c r="D53" s="1"/>
      <c r="E53" s="1"/>
      <c r="F53" s="2" t="s">
        <v>279</v>
      </c>
      <c r="G53" s="2" t="s">
        <v>222</v>
      </c>
      <c r="H53" s="2" t="s">
        <v>223</v>
      </c>
      <c r="I53" s="1"/>
      <c r="J53" s="1"/>
      <c r="K53" s="1"/>
      <c r="L53" s="2" t="s">
        <v>21</v>
      </c>
      <c r="M53" s="2" t="s">
        <v>281</v>
      </c>
      <c r="N53" s="1"/>
      <c r="O53" s="1"/>
      <c r="P53" s="1"/>
      <c r="Q53" s="1"/>
      <c r="R53">
        <v>7</v>
      </c>
      <c r="S53">
        <f t="shared" si="1"/>
        <v>84</v>
      </c>
    </row>
    <row r="54" spans="1:19" x14ac:dyDescent="0.35">
      <c r="A54" s="1">
        <v>2</v>
      </c>
      <c r="B54" s="2" t="s">
        <v>282</v>
      </c>
      <c r="C54" s="2" t="s">
        <v>283</v>
      </c>
      <c r="D54" s="1"/>
      <c r="E54" s="1"/>
      <c r="F54" s="2" t="s">
        <v>282</v>
      </c>
      <c r="G54" s="2" t="s">
        <v>222</v>
      </c>
      <c r="H54" s="2" t="s">
        <v>223</v>
      </c>
      <c r="I54" s="1"/>
      <c r="J54" s="1"/>
      <c r="K54" s="1"/>
      <c r="L54" s="2" t="s">
        <v>21</v>
      </c>
      <c r="M54" s="2" t="s">
        <v>284</v>
      </c>
      <c r="N54" s="1"/>
      <c r="O54" s="1"/>
      <c r="P54" s="1"/>
      <c r="Q54" s="1"/>
      <c r="R54">
        <v>7</v>
      </c>
      <c r="S54">
        <f t="shared" si="1"/>
        <v>14</v>
      </c>
    </row>
    <row r="55" spans="1:19" x14ac:dyDescent="0.35">
      <c r="A55" s="1">
        <v>8</v>
      </c>
      <c r="B55" s="2" t="s">
        <v>285</v>
      </c>
      <c r="C55" s="2" t="s">
        <v>286</v>
      </c>
      <c r="D55" s="1"/>
      <c r="E55" s="1"/>
      <c r="F55" s="2" t="s">
        <v>285</v>
      </c>
      <c r="G55" s="2" t="s">
        <v>287</v>
      </c>
      <c r="H55" s="2" t="s">
        <v>223</v>
      </c>
      <c r="I55" s="1"/>
      <c r="J55" s="1"/>
      <c r="K55" s="1"/>
      <c r="L55" s="2" t="s">
        <v>21</v>
      </c>
      <c r="M55" s="2" t="s">
        <v>288</v>
      </c>
      <c r="N55" s="1"/>
      <c r="O55" s="1"/>
      <c r="P55" s="1"/>
      <c r="Q55" s="1"/>
      <c r="R55">
        <v>7</v>
      </c>
      <c r="S55">
        <f t="shared" si="1"/>
        <v>56</v>
      </c>
    </row>
    <row r="56" spans="1:19" x14ac:dyDescent="0.35">
      <c r="A56" s="1">
        <v>4</v>
      </c>
      <c r="B56" s="2" t="s">
        <v>289</v>
      </c>
      <c r="C56" s="2" t="s">
        <v>290</v>
      </c>
      <c r="D56" s="1"/>
      <c r="E56" s="1"/>
      <c r="F56" s="2" t="s">
        <v>289</v>
      </c>
      <c r="G56" s="2" t="s">
        <v>222</v>
      </c>
      <c r="H56" s="2" t="s">
        <v>223</v>
      </c>
      <c r="I56" s="1"/>
      <c r="J56" s="1"/>
      <c r="K56" s="1"/>
      <c r="L56" s="2" t="s">
        <v>21</v>
      </c>
      <c r="M56" s="2" t="s">
        <v>291</v>
      </c>
      <c r="N56" s="1"/>
      <c r="O56" s="1"/>
      <c r="P56" s="1"/>
      <c r="Q56" s="1"/>
      <c r="R56">
        <v>7</v>
      </c>
      <c r="S56">
        <f t="shared" si="1"/>
        <v>28</v>
      </c>
    </row>
  </sheetData>
  <pageMargins left="0.7" right="0.7" top="0.78740157499999996" bottom="0.78740157499999996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BOM_UZ_PER_SiC_inverter_828xcc_</vt:lpstr>
      <vt:lpstr>BOM_UZ_PER_SiC_inverter_828xcc_!Drucktitel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Hoerner</dc:creator>
  <cp:lastModifiedBy>Michael Hoerner</cp:lastModifiedBy>
  <dcterms:created xsi:type="dcterms:W3CDTF">2023-02-15T13:14:16Z</dcterms:created>
  <dcterms:modified xsi:type="dcterms:W3CDTF">2023-03-07T07:21:48Z</dcterms:modified>
</cp:coreProperties>
</file>