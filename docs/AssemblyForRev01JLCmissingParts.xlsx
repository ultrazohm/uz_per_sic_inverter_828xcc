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UltraZohm\pcb_design\uz_per_sic_inverter_828xcc\docs\"/>
    </mc:Choice>
  </mc:AlternateContent>
  <xr:revisionPtr revIDLastSave="0" documentId="13_ncr:1_{99D2B733-74E2-439F-9170-5B20EC1047D4}" xr6:coauthVersionLast="47" xr6:coauthVersionMax="47" xr10:uidLastSave="{00000000-0000-0000-0000-000000000000}"/>
  <bookViews>
    <workbookView xWindow="28680" yWindow="-2340" windowWidth="38640" windowHeight="21120" xr2:uid="{9DF1C85D-6544-4115-89C1-26DC8560160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</calcChain>
</file>

<file path=xl/sharedStrings.xml><?xml version="1.0" encoding="utf-8"?>
<sst xmlns="http://schemas.openxmlformats.org/spreadsheetml/2006/main" count="159" uniqueCount="114">
  <si>
    <t>BOT</t>
  </si>
  <si>
    <t>LTC6992HS6-4#WTRMPBF</t>
  </si>
  <si>
    <t>IC6</t>
  </si>
  <si>
    <t>SOT95P280X100-6N</t>
  </si>
  <si>
    <t>Mouser</t>
  </si>
  <si>
    <t>584-6992HS64WTRMPBF</t>
  </si>
  <si>
    <t>LM2903M8-13</t>
  </si>
  <si>
    <t>IC12A, IC12B, IC12C, IC12D</t>
  </si>
  <si>
    <t>MSOP-8 (RM-8)</t>
  </si>
  <si>
    <t>621-LM2903M8-13</t>
  </si>
  <si>
    <t>Quantity</t>
  </si>
  <si>
    <t>Comment</t>
  </si>
  <si>
    <t>Designator</t>
  </si>
  <si>
    <t>Value</t>
  </si>
  <si>
    <t>Footprint</t>
  </si>
  <si>
    <t>Supplier 1</t>
  </si>
  <si>
    <t>Supplier Part Number 1</t>
  </si>
  <si>
    <t>Supplier 2</t>
  </si>
  <si>
    <t>Supplier Part Number 2</t>
  </si>
  <si>
    <t>TOP</t>
  </si>
  <si>
    <t>FCR7350B, PCB mount 4mm jack, BLACK</t>
  </si>
  <si>
    <t>J3, J6, J9</t>
  </si>
  <si>
    <t>PCB mount 4mm jack, Black	FCR7350B, 1000V, 24A</t>
  </si>
  <si>
    <t>FCR7350</t>
  </si>
  <si>
    <t>Digi-Key</t>
  </si>
  <si>
    <t>3185-FCR7350B-ND</t>
  </si>
  <si>
    <t>farnell</t>
  </si>
  <si>
    <t>1854507</t>
  </si>
  <si>
    <t>FCR7350R, PCB mount 4mm jack, RED</t>
  </si>
  <si>
    <t>J4, J5</t>
  </si>
  <si>
    <t>PCB mount 4mm jack, Red FCR7350R, 1000V, 24A</t>
  </si>
  <si>
    <t>3185-FCR7350R-ND</t>
  </si>
  <si>
    <t>1854508</t>
  </si>
  <si>
    <t>FCR7350L, PCB mount 4mm jack, BLUE</t>
  </si>
  <si>
    <t>J7, J8</t>
  </si>
  <si>
    <t>PCB mount 4mm jack, Blue FCR7350L, 1000V, 24A</t>
  </si>
  <si>
    <t>3185-FCR7350L-ND</t>
  </si>
  <si>
    <t>1854511</t>
  </si>
  <si>
    <t>RJHSE538002</t>
  </si>
  <si>
    <t>J10</t>
  </si>
  <si>
    <t>RJHSE-5380-02</t>
  </si>
  <si>
    <t>Farnell</t>
  </si>
  <si>
    <t>1860605</t>
  </si>
  <si>
    <t>VO617A-2X017T</t>
  </si>
  <si>
    <t>OP1</t>
  </si>
  <si>
    <t>SMD4</t>
  </si>
  <si>
    <t>78-VO617A-2X017T</t>
  </si>
  <si>
    <t>TC7SZ86FU,LJ(CT</t>
  </si>
  <si>
    <t>IC13A, IC13B, IC13C, IC13D</t>
  </si>
  <si>
    <t>5.5 V</t>
  </si>
  <si>
    <t>SOT353-1_N</t>
  </si>
  <si>
    <t>757-TC7SZ86FULJCT</t>
  </si>
  <si>
    <t>TC7SZ86FULJ(CTCT-ND</t>
  </si>
  <si>
    <t>HFBR-2521Z</t>
  </si>
  <si>
    <t>J1A, J1B, J1C, J1D, J1E, J1F, J1G</t>
  </si>
  <si>
    <t>HFBRx5XX</t>
  </si>
  <si>
    <t>630-HFBR-2521Z</t>
  </si>
  <si>
    <t>HFBR-1521Z</t>
  </si>
  <si>
    <t>J2A, J2B</t>
  </si>
  <si>
    <t>630-HFBR-1521Z</t>
  </si>
  <si>
    <t>516-2043-ND</t>
  </si>
  <si>
    <t>LQM31PN4R7M00L</t>
  </si>
  <si>
    <t>L2, L3</t>
  </si>
  <si>
    <t>375 mOhm</t>
  </si>
  <si>
    <t>IND 1206_3216</t>
  </si>
  <si>
    <t>81-LQM31PN4R7M00L</t>
  </si>
  <si>
    <t>LQH43PN4R7M26L</t>
  </si>
  <si>
    <t>L1</t>
  </si>
  <si>
    <t>4.7 uH</t>
  </si>
  <si>
    <t>IND</t>
  </si>
  <si>
    <t>81-LQH43PN4R7M26L</t>
  </si>
  <si>
    <t>IM828XCCXKMA1</t>
  </si>
  <si>
    <t>IC5</t>
  </si>
  <si>
    <t>900V 20A</t>
  </si>
  <si>
    <t>726-IM828XCCXKMA1</t>
  </si>
  <si>
    <t>NXJ2S2415MC-R7</t>
  </si>
  <si>
    <t>IC3</t>
  </si>
  <si>
    <t>2 W</t>
  </si>
  <si>
    <t>DCDC</t>
  </si>
  <si>
    <t>580-NXJ2S2415MC-R7</t>
  </si>
  <si>
    <t>NXJ2S0505MC-R7</t>
  </si>
  <si>
    <t>IC4</t>
  </si>
  <si>
    <t>811-3818-1-ND</t>
  </si>
  <si>
    <t>SN74HCS32PWR</t>
  </si>
  <si>
    <t>IC1</t>
  </si>
  <si>
    <t>6 V</t>
  </si>
  <si>
    <t>TSSOP-14</t>
  </si>
  <si>
    <t>595-SN74HCS32PWR</t>
  </si>
  <si>
    <t>LM4040 5.0V</t>
  </si>
  <si>
    <t>D1</t>
  </si>
  <si>
    <t>SOT-23-3</t>
  </si>
  <si>
    <t>700-LM4040CIM3-5.0T</t>
  </si>
  <si>
    <t>22 µF</t>
  </si>
  <si>
    <t>C_1206</t>
  </si>
  <si>
    <t>810-C3216X5R1V226M</t>
  </si>
  <si>
    <t>4.7 µF</t>
  </si>
  <si>
    <t>C_0805</t>
  </si>
  <si>
    <t>810-C2012X7R475K125C</t>
  </si>
  <si>
    <t>C67A, C67B, C67C, C67D, C67E, C67F, C67G</t>
  </si>
  <si>
    <t>C13, C16, C23</t>
  </si>
  <si>
    <t>40 µF</t>
  </si>
  <si>
    <t>C24, C25, C26, C27, C28, C29, C30, C31, C32, C33</t>
  </si>
  <si>
    <t>B32778Z</t>
  </si>
  <si>
    <t>871-B32778Z0406K000</t>
  </si>
  <si>
    <t>100 nF</t>
  </si>
  <si>
    <t>C34, C35</t>
  </si>
  <si>
    <t>WIMA</t>
  </si>
  <si>
    <t>505-M10.1/1600/10P</t>
  </si>
  <si>
    <t>SUM</t>
  </si>
  <si>
    <t>C6, C7</t>
  </si>
  <si>
    <t>C17, C18, C37, C40, C42</t>
  </si>
  <si>
    <t>CAS5015SRA-LI</t>
  </si>
  <si>
    <t>IC8A, IC8B, IC8C, IC8D</t>
  </si>
  <si>
    <t>Sensitec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</si>
</sst>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1" xfId="0" applyFill="1" applyBorder="1"/>
    <xf numFmtId="0" fontId="0" fillId="0" borderId="1" xfId="0" quotePrefix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87220-3BC3-4211-BD77-18AF6D60A9F4}">
  <sheetPr>
    <pageSetUpPr fitToPage="1"/>
  </sheetPr>
  <dimension ref="A1:I30"/>
  <sheetViews>
    <sheetView tabSelected="1" workbookViewId="0">
      <selection activeCell="B40" sqref="B40"/>
    </sheetView>
  </sheetViews>
  <sheetFormatPr baseColWidth="10" defaultRowHeight="14.5" x14ac:dyDescent="0.35"/>
  <cols>
    <col min="1" max="1" width="8.26953125" bestFit="1" customWidth="1"/>
    <col min="2" max="2" width="34.36328125" bestFit="1" customWidth="1"/>
    <col min="3" max="3" width="40.36328125" bestFit="1" customWidth="1"/>
    <col min="5" max="5" width="17.1796875" bestFit="1" customWidth="1"/>
    <col min="7" max="7" width="21.453125" bestFit="1" customWidth="1"/>
    <col min="8" max="8" width="9.36328125" bestFit="1" customWidth="1"/>
    <col min="9" max="9" width="20.81640625" bestFit="1" customWidth="1"/>
  </cols>
  <sheetData>
    <row r="1" spans="1:9" ht="18.5" x14ac:dyDescent="0.45">
      <c r="A1" s="4" t="s">
        <v>0</v>
      </c>
    </row>
    <row r="2" spans="1:9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</row>
    <row r="3" spans="1:9" x14ac:dyDescent="0.35">
      <c r="A3" s="2">
        <v>1</v>
      </c>
      <c r="B3" s="3" t="s">
        <v>66</v>
      </c>
      <c r="C3" s="3" t="s">
        <v>67</v>
      </c>
      <c r="D3" s="3" t="s">
        <v>68</v>
      </c>
      <c r="E3" s="3" t="s">
        <v>69</v>
      </c>
      <c r="F3" s="3" t="s">
        <v>4</v>
      </c>
      <c r="G3" s="3" t="s">
        <v>70</v>
      </c>
      <c r="H3" s="2"/>
      <c r="I3" s="2"/>
    </row>
    <row r="4" spans="1:9" x14ac:dyDescent="0.35">
      <c r="A4" s="2">
        <v>2</v>
      </c>
      <c r="B4" s="3" t="s">
        <v>92</v>
      </c>
      <c r="C4" s="3" t="s">
        <v>109</v>
      </c>
      <c r="D4" s="3" t="s">
        <v>92</v>
      </c>
      <c r="E4" s="3" t="s">
        <v>93</v>
      </c>
      <c r="F4" s="3" t="s">
        <v>4</v>
      </c>
      <c r="G4" s="3" t="s">
        <v>94</v>
      </c>
      <c r="H4" s="2"/>
      <c r="I4" s="2"/>
    </row>
    <row r="5" spans="1:9" x14ac:dyDescent="0.35">
      <c r="A5" s="2">
        <v>7</v>
      </c>
      <c r="B5" s="3" t="s">
        <v>95</v>
      </c>
      <c r="C5" s="3" t="s">
        <v>98</v>
      </c>
      <c r="D5" s="3" t="s">
        <v>95</v>
      </c>
      <c r="E5" s="3" t="s">
        <v>96</v>
      </c>
      <c r="F5" s="3" t="s">
        <v>4</v>
      </c>
      <c r="G5" s="3" t="s">
        <v>97</v>
      </c>
      <c r="H5" s="2"/>
      <c r="I5" s="2"/>
    </row>
    <row r="6" spans="1:9" x14ac:dyDescent="0.35">
      <c r="A6" s="2">
        <v>1</v>
      </c>
      <c r="B6" s="3" t="s">
        <v>1</v>
      </c>
      <c r="C6" s="3" t="s">
        <v>2</v>
      </c>
      <c r="D6" s="2"/>
      <c r="E6" s="3" t="s">
        <v>3</v>
      </c>
      <c r="F6" s="3" t="s">
        <v>4</v>
      </c>
      <c r="G6" s="3" t="s">
        <v>5</v>
      </c>
      <c r="H6" s="2"/>
      <c r="I6" s="2"/>
    </row>
    <row r="7" spans="1:9" x14ac:dyDescent="0.35">
      <c r="A7" s="2">
        <v>1</v>
      </c>
      <c r="B7" s="3" t="s">
        <v>71</v>
      </c>
      <c r="C7" s="3" t="s">
        <v>72</v>
      </c>
      <c r="D7" s="3" t="s">
        <v>73</v>
      </c>
      <c r="E7" s="3" t="s">
        <v>71</v>
      </c>
      <c r="F7" s="3" t="s">
        <v>4</v>
      </c>
      <c r="G7" s="3" t="s">
        <v>74</v>
      </c>
      <c r="H7" s="2"/>
      <c r="I7" s="2"/>
    </row>
    <row r="9" spans="1:9" ht="21" x14ac:dyDescent="0.5">
      <c r="A9" s="5" t="s">
        <v>19</v>
      </c>
    </row>
    <row r="10" spans="1:9" x14ac:dyDescent="0.35">
      <c r="A10" s="2">
        <v>1</v>
      </c>
      <c r="B10" s="3" t="s">
        <v>75</v>
      </c>
      <c r="C10" s="3" t="s">
        <v>76</v>
      </c>
      <c r="D10" s="3" t="s">
        <v>77</v>
      </c>
      <c r="E10" s="3" t="s">
        <v>78</v>
      </c>
      <c r="F10" s="3" t="s">
        <v>4</v>
      </c>
      <c r="G10" s="3" t="s">
        <v>79</v>
      </c>
      <c r="H10" s="2"/>
      <c r="I10" s="2"/>
    </row>
    <row r="11" spans="1:9" x14ac:dyDescent="0.35">
      <c r="A11" s="2">
        <v>1</v>
      </c>
      <c r="B11" s="3" t="s">
        <v>80</v>
      </c>
      <c r="C11" s="3" t="s">
        <v>81</v>
      </c>
      <c r="D11" s="3" t="s">
        <v>77</v>
      </c>
      <c r="E11" s="3" t="s">
        <v>78</v>
      </c>
      <c r="F11" s="3" t="s">
        <v>24</v>
      </c>
      <c r="G11" s="3" t="s">
        <v>82</v>
      </c>
      <c r="H11" s="2"/>
      <c r="I11" s="2"/>
    </row>
    <row r="12" spans="1:9" x14ac:dyDescent="0.35">
      <c r="A12" s="2">
        <v>5</v>
      </c>
      <c r="B12" s="3" t="s">
        <v>92</v>
      </c>
      <c r="C12" s="3" t="s">
        <v>110</v>
      </c>
      <c r="D12" s="3" t="s">
        <v>92</v>
      </c>
      <c r="E12" s="3" t="s">
        <v>93</v>
      </c>
      <c r="F12" s="3" t="s">
        <v>4</v>
      </c>
      <c r="G12" s="3" t="s">
        <v>94</v>
      </c>
      <c r="H12" s="2"/>
      <c r="I12" s="2"/>
    </row>
    <row r="13" spans="1:9" x14ac:dyDescent="0.35">
      <c r="A13" s="2">
        <v>2</v>
      </c>
      <c r="B13" s="3" t="s">
        <v>61</v>
      </c>
      <c r="C13" s="3" t="s">
        <v>62</v>
      </c>
      <c r="D13" s="3" t="s">
        <v>63</v>
      </c>
      <c r="E13" s="3" t="s">
        <v>64</v>
      </c>
      <c r="F13" s="3" t="s">
        <v>4</v>
      </c>
      <c r="G13" s="3" t="s">
        <v>65</v>
      </c>
      <c r="H13" s="2"/>
      <c r="I13" s="2"/>
    </row>
    <row r="14" spans="1:9" x14ac:dyDescent="0.35">
      <c r="A14" s="2">
        <v>1</v>
      </c>
      <c r="B14" s="3" t="s">
        <v>88</v>
      </c>
      <c r="C14" s="3" t="s">
        <v>89</v>
      </c>
      <c r="D14" s="3" t="s">
        <v>88</v>
      </c>
      <c r="E14" s="3" t="s">
        <v>90</v>
      </c>
      <c r="F14" s="3" t="s">
        <v>4</v>
      </c>
      <c r="G14" s="3" t="s">
        <v>91</v>
      </c>
      <c r="H14" s="2"/>
      <c r="I14" s="2"/>
    </row>
    <row r="15" spans="1:9" x14ac:dyDescent="0.35">
      <c r="A15" s="2">
        <v>3</v>
      </c>
      <c r="B15" s="3" t="s">
        <v>95</v>
      </c>
      <c r="C15" s="3" t="s">
        <v>99</v>
      </c>
      <c r="D15" s="3" t="s">
        <v>95</v>
      </c>
      <c r="E15" s="3" t="s">
        <v>96</v>
      </c>
      <c r="F15" s="3" t="s">
        <v>4</v>
      </c>
      <c r="G15" s="3" t="s">
        <v>97</v>
      </c>
      <c r="H15" s="2"/>
      <c r="I15" s="2"/>
    </row>
    <row r="16" spans="1:9" x14ac:dyDescent="0.35">
      <c r="A16" s="2">
        <v>4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4</v>
      </c>
      <c r="G16" s="3" t="s">
        <v>51</v>
      </c>
      <c r="H16" s="3" t="s">
        <v>24</v>
      </c>
      <c r="I16" s="3" t="s">
        <v>52</v>
      </c>
    </row>
    <row r="17" spans="1:9" x14ac:dyDescent="0.35">
      <c r="A17" s="2">
        <v>4</v>
      </c>
      <c r="B17" s="3" t="s">
        <v>6</v>
      </c>
      <c r="C17" s="3" t="s">
        <v>7</v>
      </c>
      <c r="D17" s="2"/>
      <c r="E17" s="3" t="s">
        <v>8</v>
      </c>
      <c r="F17" s="3" t="s">
        <v>4</v>
      </c>
      <c r="G17" s="3" t="s">
        <v>9</v>
      </c>
      <c r="H17" s="2"/>
      <c r="I17" s="2"/>
    </row>
    <row r="18" spans="1:9" x14ac:dyDescent="0.35">
      <c r="A18" s="2">
        <v>1</v>
      </c>
      <c r="B18" s="3" t="s">
        <v>43</v>
      </c>
      <c r="C18" s="3" t="s">
        <v>44</v>
      </c>
      <c r="D18" s="2"/>
      <c r="E18" s="3" t="s">
        <v>45</v>
      </c>
      <c r="F18" s="3" t="s">
        <v>4</v>
      </c>
      <c r="G18" s="3" t="s">
        <v>46</v>
      </c>
      <c r="H18" s="2"/>
      <c r="I18" s="2"/>
    </row>
    <row r="19" spans="1:9" x14ac:dyDescent="0.35">
      <c r="A19" s="2">
        <v>1</v>
      </c>
      <c r="B19" s="3" t="s">
        <v>83</v>
      </c>
      <c r="C19" s="3" t="s">
        <v>84</v>
      </c>
      <c r="D19" s="3" t="s">
        <v>85</v>
      </c>
      <c r="E19" s="3" t="s">
        <v>86</v>
      </c>
      <c r="F19" s="3" t="s">
        <v>4</v>
      </c>
      <c r="G19" s="3" t="s">
        <v>87</v>
      </c>
      <c r="H19" s="2"/>
      <c r="I19" s="2"/>
    </row>
    <row r="20" spans="1:9" x14ac:dyDescent="0.35">
      <c r="A20" s="2">
        <v>10</v>
      </c>
      <c r="B20" s="3" t="s">
        <v>100</v>
      </c>
      <c r="C20" s="3" t="s">
        <v>101</v>
      </c>
      <c r="D20" s="3" t="s">
        <v>100</v>
      </c>
      <c r="E20" s="3" t="s">
        <v>102</v>
      </c>
      <c r="F20" s="3" t="s">
        <v>4</v>
      </c>
      <c r="G20" s="3" t="s">
        <v>103</v>
      </c>
      <c r="H20" s="2"/>
      <c r="I20" s="2"/>
    </row>
    <row r="21" spans="1:9" x14ac:dyDescent="0.35">
      <c r="A21" s="2">
        <v>2</v>
      </c>
      <c r="B21" s="3" t="s">
        <v>104</v>
      </c>
      <c r="C21" s="3" t="s">
        <v>105</v>
      </c>
      <c r="D21" s="3" t="s">
        <v>104</v>
      </c>
      <c r="E21" s="3" t="s">
        <v>106</v>
      </c>
      <c r="F21" s="3" t="s">
        <v>4</v>
      </c>
      <c r="G21" s="3" t="s">
        <v>107</v>
      </c>
      <c r="H21" s="2"/>
      <c r="I21" s="2"/>
    </row>
    <row r="22" spans="1:9" x14ac:dyDescent="0.35">
      <c r="A22" s="2">
        <v>1</v>
      </c>
      <c r="B22" s="3" t="s">
        <v>38</v>
      </c>
      <c r="C22" s="3" t="s">
        <v>39</v>
      </c>
      <c r="D22" s="2"/>
      <c r="E22" s="3" t="s">
        <v>40</v>
      </c>
      <c r="F22" s="3" t="s">
        <v>41</v>
      </c>
      <c r="G22" s="3" t="s">
        <v>42</v>
      </c>
      <c r="H22" s="2"/>
      <c r="I22" s="2"/>
    </row>
    <row r="23" spans="1:9" x14ac:dyDescent="0.35">
      <c r="A23" s="2">
        <v>7</v>
      </c>
      <c r="B23" s="3" t="s">
        <v>53</v>
      </c>
      <c r="C23" s="3" t="s">
        <v>54</v>
      </c>
      <c r="D23" s="2"/>
      <c r="E23" s="3" t="s">
        <v>55</v>
      </c>
      <c r="F23" s="3" t="s">
        <v>4</v>
      </c>
      <c r="G23" s="3" t="s">
        <v>56</v>
      </c>
      <c r="H23" s="3" t="s">
        <v>24</v>
      </c>
      <c r="I23" s="2"/>
    </row>
    <row r="24" spans="1:9" x14ac:dyDescent="0.35">
      <c r="A24" s="2">
        <v>2</v>
      </c>
      <c r="B24" s="3" t="s">
        <v>57</v>
      </c>
      <c r="C24" s="3" t="s">
        <v>58</v>
      </c>
      <c r="D24" s="2"/>
      <c r="E24" s="3" t="s">
        <v>55</v>
      </c>
      <c r="F24" s="3" t="s">
        <v>4</v>
      </c>
      <c r="G24" s="3" t="s">
        <v>59</v>
      </c>
      <c r="H24" s="3" t="s">
        <v>24</v>
      </c>
      <c r="I24" s="3" t="s">
        <v>60</v>
      </c>
    </row>
    <row r="25" spans="1:9" x14ac:dyDescent="0.35">
      <c r="A25" s="2">
        <v>3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26</v>
      </c>
      <c r="I25" s="3" t="s">
        <v>27</v>
      </c>
    </row>
    <row r="26" spans="1:9" x14ac:dyDescent="0.35">
      <c r="A26" s="2">
        <v>2</v>
      </c>
      <c r="B26" s="3" t="s">
        <v>28</v>
      </c>
      <c r="C26" s="3" t="s">
        <v>29</v>
      </c>
      <c r="D26" s="3" t="s">
        <v>30</v>
      </c>
      <c r="E26" s="3" t="s">
        <v>23</v>
      </c>
      <c r="F26" s="3" t="s">
        <v>24</v>
      </c>
      <c r="G26" s="3" t="s">
        <v>31</v>
      </c>
      <c r="H26" s="3" t="s">
        <v>26</v>
      </c>
      <c r="I26" s="3" t="s">
        <v>32</v>
      </c>
    </row>
    <row r="27" spans="1:9" x14ac:dyDescent="0.35">
      <c r="A27" s="2">
        <v>2</v>
      </c>
      <c r="B27" s="3" t="s">
        <v>33</v>
      </c>
      <c r="C27" s="3" t="s">
        <v>34</v>
      </c>
      <c r="D27" s="3" t="s">
        <v>35</v>
      </c>
      <c r="E27" s="3" t="s">
        <v>23</v>
      </c>
      <c r="F27" s="3" t="s">
        <v>24</v>
      </c>
      <c r="G27" s="3" t="s">
        <v>36</v>
      </c>
      <c r="H27" s="3" t="s">
        <v>26</v>
      </c>
      <c r="I27" s="3" t="s">
        <v>37</v>
      </c>
    </row>
    <row r="28" spans="1:9" x14ac:dyDescent="0.35">
      <c r="A28" s="7">
        <v>4</v>
      </c>
      <c r="B28" s="8" t="s">
        <v>111</v>
      </c>
      <c r="C28" s="8" t="s">
        <v>112</v>
      </c>
      <c r="D28" s="7"/>
      <c r="E28" s="7"/>
      <c r="F28" s="8" t="s">
        <v>113</v>
      </c>
      <c r="G28" s="8" t="s">
        <v>111</v>
      </c>
      <c r="H28" s="7"/>
      <c r="I28" s="7"/>
    </row>
    <row r="30" spans="1:9" x14ac:dyDescent="0.35">
      <c r="A30" s="6" t="s">
        <v>108</v>
      </c>
      <c r="B30" s="6">
        <f>SUM(A10:A28,A3:A7)</f>
        <v>68</v>
      </c>
    </row>
  </sheetData>
  <pageMargins left="0.7" right="0.7" top="0.78740157499999996" bottom="0.78740157499999996" header="0.3" footer="0.3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cp:lastPrinted>2023-03-08T13:42:29Z</cp:lastPrinted>
  <dcterms:created xsi:type="dcterms:W3CDTF">2023-03-08T13:21:10Z</dcterms:created>
  <dcterms:modified xsi:type="dcterms:W3CDTF">2023-03-13T07:14:26Z</dcterms:modified>
</cp:coreProperties>
</file>