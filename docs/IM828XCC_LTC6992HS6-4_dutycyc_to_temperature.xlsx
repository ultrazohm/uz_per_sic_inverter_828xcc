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GIT\UltraZohm\pcb_design\uz_per_sic_inverter_828xcc\docs\"/>
    </mc:Choice>
  </mc:AlternateContent>
  <xr:revisionPtr revIDLastSave="0" documentId="13_ncr:1_{F9090A09-0D3C-497D-862F-2B9AA65FD6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" i="1" l="1"/>
  <c r="F12" i="1" s="1"/>
  <c r="F11" i="1"/>
  <c r="C8" i="1"/>
  <c r="C7" i="1"/>
  <c r="E13" i="1" l="1"/>
  <c r="E14" i="1" s="1"/>
  <c r="E15" i="1" s="1"/>
  <c r="E16" i="1" s="1"/>
  <c r="E17" i="1" s="1"/>
  <c r="E18" i="1" s="1"/>
  <c r="E19" i="1" s="1"/>
  <c r="E20" i="1" s="1"/>
  <c r="E21" i="1" s="1"/>
  <c r="F13" i="1" l="1"/>
  <c r="E22" i="1"/>
  <c r="F21" i="1"/>
  <c r="F14" i="1"/>
  <c r="E23" i="1" l="1"/>
  <c r="F22" i="1"/>
  <c r="F15" i="1"/>
  <c r="E24" i="1" l="1"/>
  <c r="F23" i="1"/>
  <c r="F16" i="1"/>
  <c r="E25" i="1" l="1"/>
  <c r="F24" i="1"/>
  <c r="F17" i="1"/>
  <c r="F25" i="1" l="1"/>
  <c r="E26" i="1"/>
  <c r="F18" i="1"/>
  <c r="E27" i="1" l="1"/>
  <c r="F26" i="1"/>
  <c r="F19" i="1"/>
  <c r="F20" i="1"/>
  <c r="F27" i="1" l="1"/>
  <c r="E28" i="1"/>
  <c r="E29" i="1" l="1"/>
  <c r="F29" i="1" s="1"/>
  <c r="F28" i="1"/>
</calcChain>
</file>

<file path=xl/sharedStrings.xml><?xml version="1.0" encoding="utf-8"?>
<sst xmlns="http://schemas.openxmlformats.org/spreadsheetml/2006/main" count="14" uniqueCount="13">
  <si>
    <t>Temperature in °C</t>
  </si>
  <si>
    <t>INPUT</t>
  </si>
  <si>
    <t>OUTPUT</t>
  </si>
  <si>
    <t>dutycyc</t>
  </si>
  <si>
    <t>duty cycle is linear between 10% and 90% (0,1V and 0,9V)</t>
  </si>
  <si>
    <t>UZ_PER_SiC_Inverter_828xcc with LTC6992HS6-4</t>
  </si>
  <si>
    <t>This LTC6992HS6-4 can provide 5% to 100% dutycycle at 0..1V input voltage</t>
  </si>
  <si>
    <t>MOD in V</t>
  </si>
  <si>
    <t>TEMP</t>
  </si>
  <si>
    <t>temp in °C</t>
  </si>
  <si>
    <t>dutycycle</t>
  </si>
  <si>
    <t>measured hw #1</t>
  </si>
  <si>
    <t>measured hw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</si>
</sst>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Tabelle1!$D$6</c:f>
              <c:strCache>
                <c:ptCount val="1"/>
                <c:pt idx="0">
                  <c:v>Temperature in °C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8191249083958733E-2"/>
                  <c:y val="-0.462848193310213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Tabelle1!$C$7:$C$8</c:f>
              <c:numCache>
                <c:formatCode>0.00</c:formatCode>
                <c:ptCount val="2"/>
                <c:pt idx="0">
                  <c:v>0.85</c:v>
                </c:pt>
                <c:pt idx="1">
                  <c:v>0.15</c:v>
                </c:pt>
              </c:numCache>
            </c:numRef>
          </c:xVal>
          <c:yVal>
            <c:numRef>
              <c:f>Tabelle1!$D$7:$D$8</c:f>
              <c:numCache>
                <c:formatCode>General</c:formatCode>
                <c:ptCount val="2"/>
                <c:pt idx="0">
                  <c:v>25</c:v>
                </c:pt>
                <c:pt idx="1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E0-4630-B64B-256BD0350C49}"/>
            </c:ext>
          </c:extLst>
        </c:ser>
        <c:ser>
          <c:idx val="1"/>
          <c:order val="1"/>
          <c:tx>
            <c:strRef>
              <c:f>Tabelle1!$I$9</c:f>
              <c:strCache>
                <c:ptCount val="1"/>
                <c:pt idx="0">
                  <c:v>measured hw #1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203673554138263"/>
                  <c:y val="2.25457714123614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Tabelle1!$H$23:$H$28</c:f>
              <c:numCache>
                <c:formatCode>General</c:formatCode>
                <c:ptCount val="6"/>
                <c:pt idx="0">
                  <c:v>0.7</c:v>
                </c:pt>
                <c:pt idx="5">
                  <c:v>0.94</c:v>
                </c:pt>
              </c:numCache>
            </c:numRef>
          </c:xVal>
          <c:yVal>
            <c:numRef>
              <c:f>Tabelle1!$I$23:$I$28</c:f>
              <c:numCache>
                <c:formatCode>General</c:formatCode>
                <c:ptCount val="6"/>
                <c:pt idx="0">
                  <c:v>35</c:v>
                </c:pt>
                <c:pt idx="5">
                  <c:v>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4-481F-AE11-EFE352F6A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97520"/>
        <c:axId val="167997912"/>
      </c:scatterChart>
      <c:valAx>
        <c:axId val="16799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Duty Cycle Normalized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997912"/>
        <c:crosses val="autoZero"/>
        <c:crossBetween val="midCat"/>
      </c:valAx>
      <c:valAx>
        <c:axId val="16799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Temperature in °C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99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267492</xdr:colOff>
      <xdr:row>8</xdr:row>
      <xdr:rowOff>161129</xdr:rowOff>
    </xdr:from>
    <xdr:to>
      <xdr:col>3</xdr:col>
      <xdr:colOff>177800</xdr:colOff>
      <xdr:row>28</xdr:row>
      <xdr:rowOff>161924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9" workbookViewId="0">
      <selection activeCell="E21" sqref="E21"/>
    </sheetView>
  </sheetViews>
  <sheetFormatPr baseColWidth="10" defaultRowHeight="14.5" x14ac:dyDescent="0.35"/>
  <cols>
    <col min="1" max="1" width="54.08984375" bestFit="1" customWidth="1"/>
    <col min="2" max="2" width="33.36328125" bestFit="1" customWidth="1"/>
    <col min="9" max="10" width="14.6328125" bestFit="1" customWidth="1"/>
  </cols>
  <sheetData>
    <row r="1" spans="1:10" x14ac:dyDescent="0.35">
      <c r="A1" t="s">
        <v>5</v>
      </c>
    </row>
    <row r="4" spans="1:10" x14ac:dyDescent="0.35">
      <c r="A4" t="s">
        <v>6</v>
      </c>
    </row>
    <row r="5" spans="1:10" x14ac:dyDescent="0.35">
      <c r="B5" t="s">
        <v>1</v>
      </c>
      <c r="C5" t="s">
        <v>2</v>
      </c>
      <c r="D5" t="s">
        <v>8</v>
      </c>
    </row>
    <row r="6" spans="1:10" x14ac:dyDescent="0.35">
      <c r="B6" t="s">
        <v>7</v>
      </c>
      <c r="C6" t="s">
        <v>3</v>
      </c>
      <c r="D6" t="s">
        <v>0</v>
      </c>
    </row>
    <row r="7" spans="1:10" x14ac:dyDescent="0.35">
      <c r="A7" t="s">
        <v>4</v>
      </c>
      <c r="B7" s="2">
        <v>0.85</v>
      </c>
      <c r="C7" s="1">
        <f>B7</f>
        <v>0.85</v>
      </c>
      <c r="D7">
        <v>25</v>
      </c>
    </row>
    <row r="8" spans="1:10" x14ac:dyDescent="0.35">
      <c r="B8" s="2">
        <v>0.15</v>
      </c>
      <c r="C8" s="1">
        <f t="shared" ref="C8" si="0">B8</f>
        <v>0.15</v>
      </c>
      <c r="D8">
        <v>125</v>
      </c>
    </row>
    <row r="9" spans="1:10" x14ac:dyDescent="0.35">
      <c r="B9" s="2"/>
      <c r="C9" s="1"/>
      <c r="I9" t="s">
        <v>11</v>
      </c>
      <c r="J9" t="s">
        <v>12</v>
      </c>
    </row>
    <row r="10" spans="1:10" x14ac:dyDescent="0.35">
      <c r="B10" s="2"/>
      <c r="C10" s="1"/>
      <c r="E10" t="s">
        <v>10</v>
      </c>
      <c r="F10" t="s">
        <v>9</v>
      </c>
      <c r="H10" t="s">
        <v>3</v>
      </c>
    </row>
    <row r="11" spans="1:10" x14ac:dyDescent="0.35">
      <c r="B11" s="2"/>
      <c r="C11" s="1"/>
      <c r="E11">
        <v>0.1</v>
      </c>
      <c r="F11">
        <f>E11*-142.86+146.43</f>
        <v>132.14400000000001</v>
      </c>
    </row>
    <row r="12" spans="1:10" x14ac:dyDescent="0.35">
      <c r="B12" s="2"/>
      <c r="C12" s="1"/>
      <c r="E12">
        <f>E11+0.05</f>
        <v>0.15000000000000002</v>
      </c>
      <c r="F12">
        <f t="shared" ref="F12:F29" si="1">E12*-142.86+146.43</f>
        <v>125.001</v>
      </c>
    </row>
    <row r="13" spans="1:10" x14ac:dyDescent="0.35">
      <c r="B13" s="2"/>
      <c r="C13" s="1"/>
      <c r="E13">
        <f t="shared" ref="E13:E29" si="2">E12+0.05</f>
        <v>0.2</v>
      </c>
      <c r="F13">
        <f t="shared" si="1"/>
        <v>117.858</v>
      </c>
    </row>
    <row r="14" spans="1:10" x14ac:dyDescent="0.35">
      <c r="E14">
        <f t="shared" si="2"/>
        <v>0.25</v>
      </c>
      <c r="F14">
        <f t="shared" si="1"/>
        <v>110.715</v>
      </c>
    </row>
    <row r="15" spans="1:10" x14ac:dyDescent="0.35">
      <c r="E15">
        <f t="shared" si="2"/>
        <v>0.3</v>
      </c>
      <c r="F15">
        <f t="shared" si="1"/>
        <v>103.572</v>
      </c>
    </row>
    <row r="16" spans="1:10" x14ac:dyDescent="0.35">
      <c r="E16">
        <f t="shared" si="2"/>
        <v>0.35</v>
      </c>
      <c r="F16">
        <f t="shared" si="1"/>
        <v>96.429000000000002</v>
      </c>
    </row>
    <row r="17" spans="5:10" x14ac:dyDescent="0.35">
      <c r="E17">
        <f t="shared" si="2"/>
        <v>0.39999999999999997</v>
      </c>
      <c r="F17">
        <f t="shared" si="1"/>
        <v>89.286000000000001</v>
      </c>
    </row>
    <row r="18" spans="5:10" x14ac:dyDescent="0.35">
      <c r="E18">
        <f t="shared" si="2"/>
        <v>0.44999999999999996</v>
      </c>
      <c r="F18">
        <f t="shared" si="1"/>
        <v>82.143000000000001</v>
      </c>
    </row>
    <row r="19" spans="5:10" x14ac:dyDescent="0.35">
      <c r="E19">
        <f t="shared" si="2"/>
        <v>0.49999999999999994</v>
      </c>
      <c r="F19">
        <f t="shared" si="1"/>
        <v>75.000000000000014</v>
      </c>
    </row>
    <row r="20" spans="5:10" x14ac:dyDescent="0.35">
      <c r="E20">
        <f t="shared" si="2"/>
        <v>0.54999999999999993</v>
      </c>
      <c r="F20">
        <f t="shared" si="1"/>
        <v>67.857000000000014</v>
      </c>
    </row>
    <row r="21" spans="5:10" x14ac:dyDescent="0.35">
      <c r="E21">
        <f t="shared" si="2"/>
        <v>0.6</v>
      </c>
      <c r="F21">
        <f t="shared" si="1"/>
        <v>60.713999999999999</v>
      </c>
    </row>
    <row r="22" spans="5:10" x14ac:dyDescent="0.35">
      <c r="E22">
        <f t="shared" si="2"/>
        <v>0.65</v>
      </c>
      <c r="F22">
        <f t="shared" si="1"/>
        <v>53.570999999999998</v>
      </c>
    </row>
    <row r="23" spans="5:10" x14ac:dyDescent="0.35">
      <c r="E23">
        <f t="shared" si="2"/>
        <v>0.70000000000000007</v>
      </c>
      <c r="F23">
        <f t="shared" si="1"/>
        <v>46.427999999999983</v>
      </c>
      <c r="H23">
        <v>0.7</v>
      </c>
      <c r="I23">
        <v>35</v>
      </c>
    </row>
    <row r="24" spans="5:10" x14ac:dyDescent="0.35">
      <c r="E24">
        <f t="shared" si="2"/>
        <v>0.75000000000000011</v>
      </c>
      <c r="F24">
        <f t="shared" si="1"/>
        <v>39.284999999999982</v>
      </c>
    </row>
    <row r="25" spans="5:10" x14ac:dyDescent="0.35">
      <c r="E25">
        <f t="shared" si="2"/>
        <v>0.80000000000000016</v>
      </c>
      <c r="F25">
        <f t="shared" si="1"/>
        <v>32.141999999999967</v>
      </c>
    </row>
    <row r="26" spans="5:10" x14ac:dyDescent="0.35">
      <c r="E26">
        <f t="shared" si="2"/>
        <v>0.8500000000000002</v>
      </c>
      <c r="F26">
        <f t="shared" si="1"/>
        <v>24.998999999999967</v>
      </c>
    </row>
    <row r="27" spans="5:10" x14ac:dyDescent="0.35">
      <c r="E27">
        <f t="shared" si="2"/>
        <v>0.90000000000000024</v>
      </c>
      <c r="F27">
        <f t="shared" si="1"/>
        <v>17.855999999999966</v>
      </c>
    </row>
    <row r="28" spans="5:10" x14ac:dyDescent="0.35">
      <c r="E28">
        <f t="shared" si="2"/>
        <v>0.95000000000000029</v>
      </c>
      <c r="F28">
        <f t="shared" si="1"/>
        <v>10.712999999999965</v>
      </c>
      <c r="H28">
        <v>0.94</v>
      </c>
      <c r="I28">
        <v>26</v>
      </c>
      <c r="J28">
        <v>21</v>
      </c>
    </row>
    <row r="29" spans="5:10" x14ac:dyDescent="0.35">
      <c r="E29">
        <f t="shared" si="2"/>
        <v>1.0000000000000002</v>
      </c>
      <c r="F29">
        <f t="shared" si="1"/>
        <v>3.5699999999999648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2021-08-24T09:27:53Z</dcterms:created>
  <dcterms:modified xsi:type="dcterms:W3CDTF">2023-03-17T09:22:11Z</dcterms:modified>
</cp:coreProperties>
</file>