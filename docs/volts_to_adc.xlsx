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per_sic_inverter_828xcc\docs\"/>
    </mc:Choice>
  </mc:AlternateContent>
  <xr:revisionPtr revIDLastSave="0" documentId="13_ncr:1_{CDEA0FB2-1E91-49ED-A193-A7BD7D0247D9}" xr6:coauthVersionLast="47" xr6:coauthVersionMax="47" xr10:uidLastSave="{00000000-0000-0000-0000-000000000000}"/>
  <bookViews>
    <workbookView xWindow="67080" yWindow="-120" windowWidth="38640" windowHeight="21120" xr2:uid="{7228B6C1-6041-4CB5-8AFD-AFF5B824FE5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E30" i="1"/>
  <c r="A37" i="1"/>
  <c r="E37" i="1" s="1"/>
  <c r="A34" i="1"/>
  <c r="A30" i="1"/>
  <c r="E40" i="1" l="1"/>
  <c r="G44" i="1" s="1"/>
</calcChain>
</file>

<file path=xl/sharedStrings.xml><?xml version="1.0" encoding="utf-8"?>
<sst xmlns="http://schemas.openxmlformats.org/spreadsheetml/2006/main" count="15" uniqueCount="15">
  <si>
    <t>v_dc</t>
  </si>
  <si>
    <t>v_diff_out_ADA4940</t>
  </si>
  <si>
    <t>ADC ticks</t>
  </si>
  <si>
    <t>volts</t>
  </si>
  <si>
    <t>dc volts</t>
  </si>
  <si>
    <t>65536 ticks auf 1000 Volt</t>
  </si>
  <si>
    <t>ticks/dc_volts</t>
  </si>
  <si>
    <t>1 tick ist x adc volts</t>
  </si>
  <si>
    <t>ticks/adc_volts</t>
  </si>
  <si>
    <t>dc volts/tick</t>
  </si>
  <si>
    <t>adc volts/tick</t>
  </si>
  <si>
    <t>ticks/dc volts</t>
  </si>
  <si>
    <t>rauschen in ticks</t>
  </si>
  <si>
    <t>rauschen in dc volts</t>
  </si>
  <si>
    <t>Gemäß docs ADC Rauschen max 2,5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</si>
</sst>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dc_link 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dc_link voltage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Tabelle1!$B$2:$B$13</c:f>
              <c:numCache>
                <c:formatCode>General</c:formatCode>
                <c:ptCount val="12"/>
                <c:pt idx="0">
                  <c:v>-4.5</c:v>
                </c:pt>
                <c:pt idx="1">
                  <c:v>-3.4990000000000001</c:v>
                </c:pt>
                <c:pt idx="2">
                  <c:v>-2.4990000000000001</c:v>
                </c:pt>
                <c:pt idx="3">
                  <c:v>-1.675</c:v>
                </c:pt>
                <c:pt idx="4">
                  <c:v>-1.4990000000000001</c:v>
                </c:pt>
                <c:pt idx="5">
                  <c:v>-0.499</c:v>
                </c:pt>
                <c:pt idx="6">
                  <c:v>0.5</c:v>
                </c:pt>
                <c:pt idx="7">
                  <c:v>1.151</c:v>
                </c:pt>
                <c:pt idx="8">
                  <c:v>1.5009999999999999</c:v>
                </c:pt>
                <c:pt idx="9">
                  <c:v>2.5</c:v>
                </c:pt>
                <c:pt idx="10">
                  <c:v>3.4990000000000001</c:v>
                </c:pt>
                <c:pt idx="11">
                  <c:v>4.4980000000000002</c:v>
                </c:pt>
              </c:numCache>
            </c:numRef>
          </c:xVal>
          <c:yVal>
            <c:numRef>
              <c:f>Tabelle1!$A$2:$A$13</c:f>
              <c:numCache>
                <c:formatCode>General</c:formatCode>
                <c:ptCount val="12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282.5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565</c:v>
                </c:pt>
                <c:pt idx="8">
                  <c:v>600</c:v>
                </c:pt>
                <c:pt idx="9">
                  <c:v>700</c:v>
                </c:pt>
                <c:pt idx="10">
                  <c:v>800</c:v>
                </c:pt>
                <c:pt idx="11">
                  <c:v>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D3-4A58-AE22-CAC7BF79C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554799"/>
        <c:axId val="623556463"/>
      </c:scatterChart>
      <c:valAx>
        <c:axId val="62355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v_adc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23556463"/>
        <c:crosses val="autoZero"/>
        <c:crossBetween val="midCat"/>
      </c:valAx>
      <c:valAx>
        <c:axId val="62355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v_dc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2355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120649</xdr:colOff>
      <xdr:row>0</xdr:row>
      <xdr:rowOff>112711</xdr:rowOff>
    </xdr:from>
    <xdr:to>
      <xdr:col>12</xdr:col>
      <xdr:colOff>123824</xdr:colOff>
      <xdr:row>20</xdr:row>
      <xdr:rowOff>57149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F1EFA03-7CB6-EC09-2162-82F8852AB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E5C3-A2B0-48AC-B53B-0DCCCF3AAB41}">
  <dimension ref="A1:G44"/>
  <sheetViews>
    <sheetView tabSelected="1" workbookViewId="0">
      <selection activeCell="B30" sqref="B30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-4.5</v>
      </c>
    </row>
    <row r="3" spans="1:2" x14ac:dyDescent="0.35">
      <c r="A3">
        <v>100</v>
      </c>
      <c r="B3">
        <v>-3.4990000000000001</v>
      </c>
    </row>
    <row r="4" spans="1:2" x14ac:dyDescent="0.35">
      <c r="A4">
        <v>200</v>
      </c>
      <c r="B4">
        <v>-2.4990000000000001</v>
      </c>
    </row>
    <row r="5" spans="1:2" x14ac:dyDescent="0.35">
      <c r="A5">
        <v>282.5</v>
      </c>
      <c r="B5">
        <v>-1.675</v>
      </c>
    </row>
    <row r="6" spans="1:2" x14ac:dyDescent="0.35">
      <c r="A6">
        <v>300</v>
      </c>
      <c r="B6">
        <v>-1.4990000000000001</v>
      </c>
    </row>
    <row r="7" spans="1:2" x14ac:dyDescent="0.35">
      <c r="A7">
        <v>400</v>
      </c>
      <c r="B7">
        <v>-0.499</v>
      </c>
    </row>
    <row r="8" spans="1:2" x14ac:dyDescent="0.35">
      <c r="A8">
        <v>500</v>
      </c>
      <c r="B8">
        <v>0.5</v>
      </c>
    </row>
    <row r="9" spans="1:2" x14ac:dyDescent="0.35">
      <c r="A9">
        <v>565</v>
      </c>
      <c r="B9">
        <v>1.151</v>
      </c>
    </row>
    <row r="10" spans="1:2" x14ac:dyDescent="0.35">
      <c r="A10">
        <v>600</v>
      </c>
      <c r="B10">
        <v>1.5009999999999999</v>
      </c>
    </row>
    <row r="11" spans="1:2" x14ac:dyDescent="0.35">
      <c r="A11">
        <v>700</v>
      </c>
      <c r="B11">
        <v>2.5</v>
      </c>
    </row>
    <row r="12" spans="1:2" x14ac:dyDescent="0.35">
      <c r="A12">
        <v>800</v>
      </c>
      <c r="B12">
        <v>3.4990000000000001</v>
      </c>
    </row>
    <row r="13" spans="1:2" x14ac:dyDescent="0.35">
      <c r="A13">
        <v>900</v>
      </c>
      <c r="B13">
        <v>4.4980000000000002</v>
      </c>
    </row>
    <row r="22" spans="1:7" x14ac:dyDescent="0.35">
      <c r="A22" s="1"/>
    </row>
    <row r="28" spans="1:7" x14ac:dyDescent="0.35">
      <c r="A28" t="s">
        <v>2</v>
      </c>
      <c r="B28" t="s">
        <v>3</v>
      </c>
      <c r="C28" t="s">
        <v>4</v>
      </c>
    </row>
    <row r="29" spans="1:7" x14ac:dyDescent="0.35">
      <c r="A29">
        <v>0</v>
      </c>
      <c r="B29">
        <v>-5</v>
      </c>
      <c r="C29">
        <v>0</v>
      </c>
      <c r="E29" t="s">
        <v>9</v>
      </c>
      <c r="G29" t="s">
        <v>11</v>
      </c>
    </row>
    <row r="30" spans="1:7" x14ac:dyDescent="0.35">
      <c r="A30">
        <f>2^16-1</f>
        <v>65535</v>
      </c>
      <c r="B30">
        <v>5</v>
      </c>
      <c r="C30">
        <v>1000</v>
      </c>
      <c r="E30">
        <f>C30/(A30+1)</f>
        <v>1.52587890625E-2</v>
      </c>
      <c r="G30">
        <f>1/E30</f>
        <v>65.536000000000001</v>
      </c>
    </row>
    <row r="33" spans="1:7" x14ac:dyDescent="0.35">
      <c r="A33" t="s">
        <v>5</v>
      </c>
    </row>
    <row r="34" spans="1:7" x14ac:dyDescent="0.35">
      <c r="A34">
        <f>(A30+1)/C30</f>
        <v>65.536000000000001</v>
      </c>
      <c r="B34" t="s">
        <v>6</v>
      </c>
    </row>
    <row r="36" spans="1:7" x14ac:dyDescent="0.35">
      <c r="A36" t="s">
        <v>7</v>
      </c>
      <c r="E36" t="s">
        <v>10</v>
      </c>
    </row>
    <row r="37" spans="1:7" x14ac:dyDescent="0.35">
      <c r="A37">
        <f>(A30+1)/(B30-B29)</f>
        <v>6553.6</v>
      </c>
      <c r="B37" t="s">
        <v>8</v>
      </c>
      <c r="E37">
        <f>1/A37</f>
        <v>1.52587890625E-4</v>
      </c>
    </row>
    <row r="39" spans="1:7" x14ac:dyDescent="0.35">
      <c r="A39" t="s">
        <v>14</v>
      </c>
      <c r="E39" t="s">
        <v>12</v>
      </c>
    </row>
    <row r="40" spans="1:7" x14ac:dyDescent="0.35">
      <c r="E40">
        <f>A37*0.0025</f>
        <v>16.384</v>
      </c>
    </row>
    <row r="43" spans="1:7" x14ac:dyDescent="0.35">
      <c r="G43" t="s">
        <v>13</v>
      </c>
    </row>
    <row r="44" spans="1:7" x14ac:dyDescent="0.35">
      <c r="G44">
        <f>E40/G30</f>
        <v>0.25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2023-02-07T14:27:04Z</dcterms:created>
  <dcterms:modified xsi:type="dcterms:W3CDTF">2023-02-08T13:22:43Z</dcterms:modified>
</cp:coreProperties>
</file>