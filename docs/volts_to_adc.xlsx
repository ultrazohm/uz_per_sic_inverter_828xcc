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UltraZohm\pcb_design\uz_per_sic_inverter_828xcc\docs\"/>
    </mc:Choice>
  </mc:AlternateContent>
  <xr:revisionPtr revIDLastSave="0" documentId="13_ncr:1_{AF0820F6-0801-4723-9607-D45A6F6FC208}" xr6:coauthVersionLast="47" xr6:coauthVersionMax="47" xr10:uidLastSave="{00000000-0000-0000-0000-000000000000}"/>
  <bookViews>
    <workbookView xWindow="-110" yWindow="-110" windowWidth="19420" windowHeight="10300" xr2:uid="{7228B6C1-6041-4CB5-8AFD-AFF5B824FE5A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1" i="1"/>
  <c r="B34" i="1"/>
  <c r="B32" i="1"/>
  <c r="B33" i="1"/>
  <c r="A74" i="1"/>
  <c r="A81" i="1"/>
  <c r="A85" i="1" s="1"/>
  <c r="A88" i="1" l="1"/>
  <c r="E88" i="1" s="1"/>
  <c r="E81" i="1"/>
  <c r="G81" i="1" s="1"/>
  <c r="E91" i="1" l="1"/>
  <c r="G95" i="1" s="1"/>
</calcChain>
</file>

<file path=xl/sharedStrings.xml><?xml version="1.0" encoding="utf-8"?>
<sst xmlns="http://schemas.openxmlformats.org/spreadsheetml/2006/main" count="22" uniqueCount="20">
  <si>
    <t>v_dc</t>
  </si>
  <si>
    <t>v_diff_out_ADA4940</t>
  </si>
  <si>
    <t>ADC ticks</t>
  </si>
  <si>
    <t>volts</t>
  </si>
  <si>
    <t>dc volts</t>
  </si>
  <si>
    <t>65536 ticks auf 1000 Volt</t>
  </si>
  <si>
    <t>ticks/dc_volts</t>
  </si>
  <si>
    <t>1 tick ist x adc volts</t>
  </si>
  <si>
    <t>ticks/adc_volts</t>
  </si>
  <si>
    <t>dc volts/tick</t>
  </si>
  <si>
    <t>adc volts/tick</t>
  </si>
  <si>
    <t>ticks/dc volts</t>
  </si>
  <si>
    <t>rauschen in ticks</t>
  </si>
  <si>
    <t>rauschen in dc volts</t>
  </si>
  <si>
    <t>Gemäß docs ADC Rauschen max 2,5 mV</t>
  </si>
  <si>
    <t>measured @ #1 Hardware</t>
  </si>
  <si>
    <t>measured @ #2 Hardware</t>
  </si>
  <si>
    <t>v_dc multimeter</t>
  </si>
  <si>
    <t>offset</t>
  </si>
  <si>
    <t>pu mit Base 150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</si>
</sst>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dc_link voltage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dc_link voltage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Tabelle1!$B$2:$B$13</c:f>
              <c:numCache>
                <c:formatCode>General</c:formatCode>
                <c:ptCount val="12"/>
                <c:pt idx="0">
                  <c:v>-4.5</c:v>
                </c:pt>
                <c:pt idx="1">
                  <c:v>-3.4990000000000001</c:v>
                </c:pt>
                <c:pt idx="2">
                  <c:v>-2.4990000000000001</c:v>
                </c:pt>
                <c:pt idx="3">
                  <c:v>-1.675</c:v>
                </c:pt>
                <c:pt idx="4">
                  <c:v>-1.4990000000000001</c:v>
                </c:pt>
                <c:pt idx="5">
                  <c:v>-0.499</c:v>
                </c:pt>
                <c:pt idx="6">
                  <c:v>0.5</c:v>
                </c:pt>
                <c:pt idx="7">
                  <c:v>1.151</c:v>
                </c:pt>
                <c:pt idx="8">
                  <c:v>1.5009999999999999</c:v>
                </c:pt>
                <c:pt idx="9">
                  <c:v>2.5</c:v>
                </c:pt>
                <c:pt idx="10">
                  <c:v>3.4990000000000001</c:v>
                </c:pt>
                <c:pt idx="11">
                  <c:v>4.4980000000000002</c:v>
                </c:pt>
              </c:numCache>
            </c:numRef>
          </c:xVal>
          <c:yVal>
            <c:numRef>
              <c:f>Tabelle1!$A$2:$A$13</c:f>
              <c:numCache>
                <c:formatCode>General</c:formatCode>
                <c:ptCount val="12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282.5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565</c:v>
                </c:pt>
                <c:pt idx="8">
                  <c:v>600</c:v>
                </c:pt>
                <c:pt idx="9">
                  <c:v>700</c:v>
                </c:pt>
                <c:pt idx="10">
                  <c:v>800</c:v>
                </c:pt>
                <c:pt idx="11">
                  <c:v>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D3-4A58-AE22-CAC7BF79CBFF}"/>
            </c:ext>
          </c:extLst>
        </c:ser>
        <c:ser>
          <c:idx val="1"/>
          <c:order val="1"/>
          <c:tx>
            <c:strRef>
              <c:f>Tabelle1!$F$1</c:f>
              <c:strCache>
                <c:ptCount val="1"/>
                <c:pt idx="0">
                  <c:v>measured @ #1 Hardware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8458394486327054"/>
                  <c:y val="8.557845555967949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#1: y = 140,27x + 450,25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Tabelle1!$F$3:$F$62</c:f>
              <c:numCache>
                <c:formatCode>General</c:formatCode>
                <c:ptCount val="60"/>
                <c:pt idx="0">
                  <c:v>-3.1360000000000001</c:v>
                </c:pt>
                <c:pt idx="1">
                  <c:v>-3.0640000000000001</c:v>
                </c:pt>
                <c:pt idx="2">
                  <c:v>-2.9940000000000002</c:v>
                </c:pt>
                <c:pt idx="3">
                  <c:v>-2.923</c:v>
                </c:pt>
                <c:pt idx="4">
                  <c:v>-2.8519999999999999</c:v>
                </c:pt>
                <c:pt idx="5">
                  <c:v>-2.778</c:v>
                </c:pt>
                <c:pt idx="6">
                  <c:v>-2.7080000000000002</c:v>
                </c:pt>
                <c:pt idx="7">
                  <c:v>-2.637</c:v>
                </c:pt>
                <c:pt idx="8">
                  <c:v>-2.5649999999999999</c:v>
                </c:pt>
                <c:pt idx="9">
                  <c:v>-2.492</c:v>
                </c:pt>
                <c:pt idx="10">
                  <c:v>-2.4209999999999998</c:v>
                </c:pt>
                <c:pt idx="11">
                  <c:v>-2.35</c:v>
                </c:pt>
                <c:pt idx="12">
                  <c:v>-2.2770000000000001</c:v>
                </c:pt>
                <c:pt idx="13">
                  <c:v>-2.206</c:v>
                </c:pt>
                <c:pt idx="14">
                  <c:v>-2.1360000000000001</c:v>
                </c:pt>
                <c:pt idx="15">
                  <c:v>-2.0640000000000001</c:v>
                </c:pt>
                <c:pt idx="16">
                  <c:v>-1.9910000000000001</c:v>
                </c:pt>
                <c:pt idx="17">
                  <c:v>-1.92</c:v>
                </c:pt>
                <c:pt idx="18">
                  <c:v>-1.8480000000000001</c:v>
                </c:pt>
                <c:pt idx="19">
                  <c:v>-1.7769999999999999</c:v>
                </c:pt>
                <c:pt idx="20">
                  <c:v>-1.704</c:v>
                </c:pt>
                <c:pt idx="21">
                  <c:v>-1.633</c:v>
                </c:pt>
                <c:pt idx="22">
                  <c:v>-1.5609999999999999</c:v>
                </c:pt>
                <c:pt idx="23">
                  <c:v>-1.488</c:v>
                </c:pt>
                <c:pt idx="24">
                  <c:v>-1.4179999999999999</c:v>
                </c:pt>
                <c:pt idx="25">
                  <c:v>-1.3480000000000001</c:v>
                </c:pt>
                <c:pt idx="26">
                  <c:v>-1.278</c:v>
                </c:pt>
                <c:pt idx="27">
                  <c:v>-1.2070000000000001</c:v>
                </c:pt>
                <c:pt idx="28">
                  <c:v>-1.137</c:v>
                </c:pt>
                <c:pt idx="29">
                  <c:v>-1.0660000000000001</c:v>
                </c:pt>
                <c:pt idx="30">
                  <c:v>-0.995</c:v>
                </c:pt>
                <c:pt idx="31">
                  <c:v>-0.92200000000000004</c:v>
                </c:pt>
                <c:pt idx="32">
                  <c:v>-0.85</c:v>
                </c:pt>
                <c:pt idx="33">
                  <c:v>-0.77900000000000003</c:v>
                </c:pt>
                <c:pt idx="34">
                  <c:v>-0.70599999999999996</c:v>
                </c:pt>
                <c:pt idx="35">
                  <c:v>-0.63600000000000001</c:v>
                </c:pt>
                <c:pt idx="36">
                  <c:v>-0.56299999999999994</c:v>
                </c:pt>
                <c:pt idx="37">
                  <c:v>-0.49399999999999999</c:v>
                </c:pt>
                <c:pt idx="38">
                  <c:v>-0.42</c:v>
                </c:pt>
                <c:pt idx="39">
                  <c:v>-0.34699999999999998</c:v>
                </c:pt>
                <c:pt idx="40">
                  <c:v>-0.27800000000000002</c:v>
                </c:pt>
                <c:pt idx="41">
                  <c:v>-0.21</c:v>
                </c:pt>
                <c:pt idx="42">
                  <c:v>-0.13700000000000001</c:v>
                </c:pt>
                <c:pt idx="43">
                  <c:v>-6.9000000000000006E-2</c:v>
                </c:pt>
                <c:pt idx="44">
                  <c:v>3.0000000000000001E-3</c:v>
                </c:pt>
                <c:pt idx="45">
                  <c:v>7.3999999999999996E-2</c:v>
                </c:pt>
                <c:pt idx="46">
                  <c:v>0.14699999999999999</c:v>
                </c:pt>
                <c:pt idx="47">
                  <c:v>0.219</c:v>
                </c:pt>
                <c:pt idx="48">
                  <c:v>0.28799999999999998</c:v>
                </c:pt>
                <c:pt idx="49">
                  <c:v>0.36199999999999999</c:v>
                </c:pt>
                <c:pt idx="50">
                  <c:v>0.432</c:v>
                </c:pt>
                <c:pt idx="51">
                  <c:v>0.504</c:v>
                </c:pt>
                <c:pt idx="52">
                  <c:v>0.57399999999999995</c:v>
                </c:pt>
                <c:pt idx="53">
                  <c:v>0.64500000000000002</c:v>
                </c:pt>
                <c:pt idx="54">
                  <c:v>0.71499999999999997</c:v>
                </c:pt>
                <c:pt idx="55">
                  <c:v>0.78600000000000003</c:v>
                </c:pt>
                <c:pt idx="56">
                  <c:v>0.85599999999999998</c:v>
                </c:pt>
                <c:pt idx="57">
                  <c:v>0.92700000000000005</c:v>
                </c:pt>
                <c:pt idx="58">
                  <c:v>0.99299999999999999</c:v>
                </c:pt>
                <c:pt idx="59">
                  <c:v>1.052</c:v>
                </c:pt>
              </c:numCache>
            </c:numRef>
          </c:xVal>
          <c:yVal>
            <c:numRef>
              <c:f>Tabelle1!$E$3:$E$62</c:f>
              <c:numCache>
                <c:formatCode>General</c:formatCode>
                <c:ptCount val="60"/>
                <c:pt idx="0">
                  <c:v>10.8</c:v>
                </c:pt>
                <c:pt idx="1">
                  <c:v>20.7</c:v>
                </c:pt>
                <c:pt idx="2">
                  <c:v>30.5</c:v>
                </c:pt>
                <c:pt idx="3">
                  <c:v>40.6</c:v>
                </c:pt>
                <c:pt idx="4">
                  <c:v>50.5</c:v>
                </c:pt>
                <c:pt idx="5">
                  <c:v>60.8</c:v>
                </c:pt>
                <c:pt idx="6">
                  <c:v>70.8</c:v>
                </c:pt>
                <c:pt idx="7">
                  <c:v>80.7</c:v>
                </c:pt>
                <c:pt idx="8">
                  <c:v>90.7</c:v>
                </c:pt>
                <c:pt idx="9">
                  <c:v>100.9</c:v>
                </c:pt>
                <c:pt idx="10">
                  <c:v>110.9</c:v>
                </c:pt>
                <c:pt idx="11">
                  <c:v>120.9</c:v>
                </c:pt>
                <c:pt idx="12">
                  <c:v>131</c:v>
                </c:pt>
                <c:pt idx="13">
                  <c:v>141</c:v>
                </c:pt>
                <c:pt idx="14">
                  <c:v>150.80000000000001</c:v>
                </c:pt>
                <c:pt idx="15">
                  <c:v>160.80000000000001</c:v>
                </c:pt>
                <c:pt idx="16">
                  <c:v>171</c:v>
                </c:pt>
                <c:pt idx="17">
                  <c:v>181</c:v>
                </c:pt>
                <c:pt idx="18">
                  <c:v>190.9</c:v>
                </c:pt>
                <c:pt idx="19">
                  <c:v>200.8</c:v>
                </c:pt>
                <c:pt idx="20">
                  <c:v>211</c:v>
                </c:pt>
                <c:pt idx="21">
                  <c:v>220.9</c:v>
                </c:pt>
                <c:pt idx="22">
                  <c:v>230.9</c:v>
                </c:pt>
                <c:pt idx="23">
                  <c:v>241.1</c:v>
                </c:pt>
                <c:pt idx="24">
                  <c:v>251</c:v>
                </c:pt>
                <c:pt idx="25">
                  <c:v>260.8</c:v>
                </c:pt>
                <c:pt idx="26">
                  <c:v>270.60000000000002</c:v>
                </c:pt>
                <c:pt idx="27">
                  <c:v>280.7</c:v>
                </c:pt>
                <c:pt idx="28">
                  <c:v>290.5</c:v>
                </c:pt>
                <c:pt idx="29">
                  <c:v>300.39999999999998</c:v>
                </c:pt>
                <c:pt idx="30">
                  <c:v>310.39999999999998</c:v>
                </c:pt>
                <c:pt idx="31">
                  <c:v>320.60000000000002</c:v>
                </c:pt>
                <c:pt idx="32">
                  <c:v>330.7</c:v>
                </c:pt>
                <c:pt idx="33">
                  <c:v>340.7</c:v>
                </c:pt>
                <c:pt idx="34">
                  <c:v>350.9</c:v>
                </c:pt>
                <c:pt idx="35">
                  <c:v>360.7</c:v>
                </c:pt>
                <c:pt idx="36">
                  <c:v>371</c:v>
                </c:pt>
                <c:pt idx="37">
                  <c:v>380.6</c:v>
                </c:pt>
                <c:pt idx="38">
                  <c:v>391</c:v>
                </c:pt>
                <c:pt idx="39">
                  <c:v>401.1</c:v>
                </c:pt>
                <c:pt idx="40">
                  <c:v>410.9</c:v>
                </c:pt>
                <c:pt idx="41">
                  <c:v>420.6</c:v>
                </c:pt>
                <c:pt idx="42">
                  <c:v>430.8</c:v>
                </c:pt>
                <c:pt idx="43">
                  <c:v>440.7</c:v>
                </c:pt>
                <c:pt idx="44">
                  <c:v>450.6</c:v>
                </c:pt>
                <c:pt idx="45">
                  <c:v>460.6</c:v>
                </c:pt>
                <c:pt idx="46">
                  <c:v>470.8</c:v>
                </c:pt>
                <c:pt idx="47">
                  <c:v>480.8</c:v>
                </c:pt>
                <c:pt idx="48">
                  <c:v>490.7</c:v>
                </c:pt>
                <c:pt idx="49">
                  <c:v>500.9</c:v>
                </c:pt>
                <c:pt idx="50">
                  <c:v>510.8</c:v>
                </c:pt>
                <c:pt idx="51">
                  <c:v>520.70000000000005</c:v>
                </c:pt>
                <c:pt idx="52">
                  <c:v>530.5</c:v>
                </c:pt>
                <c:pt idx="53">
                  <c:v>540.5</c:v>
                </c:pt>
                <c:pt idx="54">
                  <c:v>550.29999999999995</c:v>
                </c:pt>
                <c:pt idx="55">
                  <c:v>560.29999999999995</c:v>
                </c:pt>
                <c:pt idx="56">
                  <c:v>570.4</c:v>
                </c:pt>
                <c:pt idx="57">
                  <c:v>580.70000000000005</c:v>
                </c:pt>
                <c:pt idx="58">
                  <c:v>590.70000000000005</c:v>
                </c:pt>
                <c:pt idx="59">
                  <c:v>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4C-4A09-8EC3-594FC227279E}"/>
            </c:ext>
          </c:extLst>
        </c:ser>
        <c:ser>
          <c:idx val="2"/>
          <c:order val="2"/>
          <c:tx>
            <c:strRef>
              <c:f>Tabelle1!$G$1</c:f>
              <c:strCache>
                <c:ptCount val="1"/>
                <c:pt idx="0">
                  <c:v>measured @ #2 Hardware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860238025898186"/>
                  <c:y val="-2.476192508231894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#2: y = 141,28x + 452,17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Tabelle1!$G$3:$G$62</c:f>
              <c:numCache>
                <c:formatCode>General</c:formatCode>
                <c:ptCount val="60"/>
                <c:pt idx="0">
                  <c:v>-3.13</c:v>
                </c:pt>
                <c:pt idx="1">
                  <c:v>-3.0579999999999998</c:v>
                </c:pt>
                <c:pt idx="2">
                  <c:v>-2.9889999999999999</c:v>
                </c:pt>
                <c:pt idx="3">
                  <c:v>-2.9169999999999998</c:v>
                </c:pt>
                <c:pt idx="4">
                  <c:v>-2.847</c:v>
                </c:pt>
                <c:pt idx="5">
                  <c:v>-2.774</c:v>
                </c:pt>
                <c:pt idx="6">
                  <c:v>-2.7029999999999998</c:v>
                </c:pt>
                <c:pt idx="7">
                  <c:v>-2.633</c:v>
                </c:pt>
                <c:pt idx="8">
                  <c:v>-2.5619999999999998</c:v>
                </c:pt>
                <c:pt idx="9">
                  <c:v>-2.4889999999999999</c:v>
                </c:pt>
                <c:pt idx="10">
                  <c:v>-2.4180000000000001</c:v>
                </c:pt>
                <c:pt idx="11">
                  <c:v>-2.347</c:v>
                </c:pt>
                <c:pt idx="12">
                  <c:v>-2.2759999999999998</c:v>
                </c:pt>
                <c:pt idx="13">
                  <c:v>-2.2050000000000001</c:v>
                </c:pt>
                <c:pt idx="14">
                  <c:v>-2.1349999999999998</c:v>
                </c:pt>
                <c:pt idx="15">
                  <c:v>-2.0630000000000002</c:v>
                </c:pt>
                <c:pt idx="16">
                  <c:v>-1.9910000000000001</c:v>
                </c:pt>
                <c:pt idx="17">
                  <c:v>-1.92</c:v>
                </c:pt>
                <c:pt idx="18">
                  <c:v>-1.849</c:v>
                </c:pt>
                <c:pt idx="19">
                  <c:v>-1.7789999999999999</c:v>
                </c:pt>
                <c:pt idx="20">
                  <c:v>-1.706</c:v>
                </c:pt>
                <c:pt idx="21">
                  <c:v>-1.635</c:v>
                </c:pt>
                <c:pt idx="22">
                  <c:v>-1.5640000000000001</c:v>
                </c:pt>
                <c:pt idx="23">
                  <c:v>-1.492</c:v>
                </c:pt>
                <c:pt idx="24">
                  <c:v>-1.421</c:v>
                </c:pt>
                <c:pt idx="25">
                  <c:v>-1.3520000000000001</c:v>
                </c:pt>
                <c:pt idx="26">
                  <c:v>-1.2829999999999999</c:v>
                </c:pt>
                <c:pt idx="27">
                  <c:v>-1.2110000000000001</c:v>
                </c:pt>
                <c:pt idx="28">
                  <c:v>-1.141</c:v>
                </c:pt>
                <c:pt idx="29">
                  <c:v>-1.071</c:v>
                </c:pt>
                <c:pt idx="30">
                  <c:v>-1</c:v>
                </c:pt>
                <c:pt idx="31">
                  <c:v>-0.92700000000000005</c:v>
                </c:pt>
                <c:pt idx="32">
                  <c:v>-0.85599999999999998</c:v>
                </c:pt>
                <c:pt idx="33">
                  <c:v>-0.78500000000000003</c:v>
                </c:pt>
                <c:pt idx="34">
                  <c:v>-0.71299999999999997</c:v>
                </c:pt>
                <c:pt idx="35">
                  <c:v>-0.64300000000000002</c:v>
                </c:pt>
                <c:pt idx="36">
                  <c:v>-0.56999999999999995</c:v>
                </c:pt>
                <c:pt idx="37">
                  <c:v>-0.502</c:v>
                </c:pt>
                <c:pt idx="38">
                  <c:v>-0.42799999999999999</c:v>
                </c:pt>
                <c:pt idx="39">
                  <c:v>-0.35599999999999998</c:v>
                </c:pt>
                <c:pt idx="40">
                  <c:v>-0.28599999999999998</c:v>
                </c:pt>
                <c:pt idx="41">
                  <c:v>-0.218</c:v>
                </c:pt>
                <c:pt idx="42">
                  <c:v>-0.14499999999999999</c:v>
                </c:pt>
                <c:pt idx="43">
                  <c:v>-7.5999999999999998E-2</c:v>
                </c:pt>
                <c:pt idx="44">
                  <c:v>-6.0000000000000001E-3</c:v>
                </c:pt>
                <c:pt idx="45">
                  <c:v>6.8000000000000005E-2</c:v>
                </c:pt>
                <c:pt idx="46">
                  <c:v>0.14000000000000001</c:v>
                </c:pt>
                <c:pt idx="47">
                  <c:v>0.20799999999999999</c:v>
                </c:pt>
                <c:pt idx="48">
                  <c:v>0.27700000000000002</c:v>
                </c:pt>
                <c:pt idx="49">
                  <c:v>0.35</c:v>
                </c:pt>
                <c:pt idx="50">
                  <c:v>0.42</c:v>
                </c:pt>
                <c:pt idx="51">
                  <c:v>0.49099999999999999</c:v>
                </c:pt>
                <c:pt idx="52">
                  <c:v>0.56000000000000005</c:v>
                </c:pt>
                <c:pt idx="53">
                  <c:v>0.63</c:v>
                </c:pt>
                <c:pt idx="54">
                  <c:v>0.69899999999999995</c:v>
                </c:pt>
                <c:pt idx="55">
                  <c:v>0.76900000000000002</c:v>
                </c:pt>
                <c:pt idx="56">
                  <c:v>0.83599999999999997</c:v>
                </c:pt>
                <c:pt idx="57">
                  <c:v>0.9</c:v>
                </c:pt>
                <c:pt idx="58">
                  <c:v>0.95</c:v>
                </c:pt>
                <c:pt idx="59">
                  <c:v>0.99099999999999999</c:v>
                </c:pt>
              </c:numCache>
            </c:numRef>
          </c:xVal>
          <c:yVal>
            <c:numRef>
              <c:f>Tabelle1!$E$3:$E$62</c:f>
              <c:numCache>
                <c:formatCode>General</c:formatCode>
                <c:ptCount val="60"/>
                <c:pt idx="0">
                  <c:v>10.8</c:v>
                </c:pt>
                <c:pt idx="1">
                  <c:v>20.7</c:v>
                </c:pt>
                <c:pt idx="2">
                  <c:v>30.5</c:v>
                </c:pt>
                <c:pt idx="3">
                  <c:v>40.6</c:v>
                </c:pt>
                <c:pt idx="4">
                  <c:v>50.5</c:v>
                </c:pt>
                <c:pt idx="5">
                  <c:v>60.8</c:v>
                </c:pt>
                <c:pt idx="6">
                  <c:v>70.8</c:v>
                </c:pt>
                <c:pt idx="7">
                  <c:v>80.7</c:v>
                </c:pt>
                <c:pt idx="8">
                  <c:v>90.7</c:v>
                </c:pt>
                <c:pt idx="9">
                  <c:v>100.9</c:v>
                </c:pt>
                <c:pt idx="10">
                  <c:v>110.9</c:v>
                </c:pt>
                <c:pt idx="11">
                  <c:v>120.9</c:v>
                </c:pt>
                <c:pt idx="12">
                  <c:v>131</c:v>
                </c:pt>
                <c:pt idx="13">
                  <c:v>141</c:v>
                </c:pt>
                <c:pt idx="14">
                  <c:v>150.80000000000001</c:v>
                </c:pt>
                <c:pt idx="15">
                  <c:v>160.80000000000001</c:v>
                </c:pt>
                <c:pt idx="16">
                  <c:v>171</c:v>
                </c:pt>
                <c:pt idx="17">
                  <c:v>181</c:v>
                </c:pt>
                <c:pt idx="18">
                  <c:v>190.9</c:v>
                </c:pt>
                <c:pt idx="19">
                  <c:v>200.8</c:v>
                </c:pt>
                <c:pt idx="20">
                  <c:v>211</c:v>
                </c:pt>
                <c:pt idx="21">
                  <c:v>220.9</c:v>
                </c:pt>
                <c:pt idx="22">
                  <c:v>230.9</c:v>
                </c:pt>
                <c:pt idx="23">
                  <c:v>241.1</c:v>
                </c:pt>
                <c:pt idx="24">
                  <c:v>251</c:v>
                </c:pt>
                <c:pt idx="25">
                  <c:v>260.8</c:v>
                </c:pt>
                <c:pt idx="26">
                  <c:v>270.60000000000002</c:v>
                </c:pt>
                <c:pt idx="27">
                  <c:v>280.7</c:v>
                </c:pt>
                <c:pt idx="28">
                  <c:v>290.5</c:v>
                </c:pt>
                <c:pt idx="29">
                  <c:v>300.39999999999998</c:v>
                </c:pt>
                <c:pt idx="30">
                  <c:v>310.39999999999998</c:v>
                </c:pt>
                <c:pt idx="31">
                  <c:v>320.60000000000002</c:v>
                </c:pt>
                <c:pt idx="32">
                  <c:v>330.7</c:v>
                </c:pt>
                <c:pt idx="33">
                  <c:v>340.7</c:v>
                </c:pt>
                <c:pt idx="34">
                  <c:v>350.9</c:v>
                </c:pt>
                <c:pt idx="35">
                  <c:v>360.7</c:v>
                </c:pt>
                <c:pt idx="36">
                  <c:v>371</c:v>
                </c:pt>
                <c:pt idx="37">
                  <c:v>380.6</c:v>
                </c:pt>
                <c:pt idx="38">
                  <c:v>391</c:v>
                </c:pt>
                <c:pt idx="39">
                  <c:v>401.1</c:v>
                </c:pt>
                <c:pt idx="40">
                  <c:v>410.9</c:v>
                </c:pt>
                <c:pt idx="41">
                  <c:v>420.6</c:v>
                </c:pt>
                <c:pt idx="42">
                  <c:v>430.8</c:v>
                </c:pt>
                <c:pt idx="43">
                  <c:v>440.7</c:v>
                </c:pt>
                <c:pt idx="44">
                  <c:v>450.6</c:v>
                </c:pt>
                <c:pt idx="45">
                  <c:v>460.6</c:v>
                </c:pt>
                <c:pt idx="46">
                  <c:v>470.8</c:v>
                </c:pt>
                <c:pt idx="47">
                  <c:v>480.8</c:v>
                </c:pt>
                <c:pt idx="48">
                  <c:v>490.7</c:v>
                </c:pt>
                <c:pt idx="49">
                  <c:v>500.9</c:v>
                </c:pt>
                <c:pt idx="50">
                  <c:v>510.8</c:v>
                </c:pt>
                <c:pt idx="51">
                  <c:v>520.70000000000005</c:v>
                </c:pt>
                <c:pt idx="52">
                  <c:v>530.5</c:v>
                </c:pt>
                <c:pt idx="53">
                  <c:v>540.5</c:v>
                </c:pt>
                <c:pt idx="54">
                  <c:v>550.29999999999995</c:v>
                </c:pt>
                <c:pt idx="55">
                  <c:v>560.29999999999995</c:v>
                </c:pt>
                <c:pt idx="56">
                  <c:v>570.4</c:v>
                </c:pt>
                <c:pt idx="57">
                  <c:v>580.70000000000005</c:v>
                </c:pt>
                <c:pt idx="58">
                  <c:v>590.70000000000005</c:v>
                </c:pt>
                <c:pt idx="59">
                  <c:v>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C4C-4A09-8EC3-594FC2272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3554799"/>
        <c:axId val="623556463"/>
      </c:scatterChart>
      <c:valAx>
        <c:axId val="623554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v_adc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23556463"/>
        <c:crosses val="autoZero"/>
        <c:crossBetween val="midCat"/>
      </c:valAx>
      <c:valAx>
        <c:axId val="623556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v_dc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23554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Tabelle1!$B$32:$B$34</c:f>
              <c:numCache>
                <c:formatCode>General</c:formatCode>
                <c:ptCount val="3"/>
                <c:pt idx="0">
                  <c:v>21845.333333333332</c:v>
                </c:pt>
                <c:pt idx="1">
                  <c:v>19680.480480480477</c:v>
                </c:pt>
                <c:pt idx="2">
                  <c:v>24248.32</c:v>
                </c:pt>
              </c:numCache>
            </c:numRef>
          </c:xVal>
          <c:yVal>
            <c:numRef>
              <c:f>Tabelle1!$C$32:$C$34</c:f>
              <c:numCache>
                <c:formatCode>General</c:formatCode>
                <c:ptCount val="3"/>
                <c:pt idx="0">
                  <c:v>1.1100000000000001</c:v>
                </c:pt>
                <c:pt idx="1">
                  <c:v>0.8</c:v>
                </c:pt>
                <c:pt idx="2">
                  <c:v>1.45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43-4282-B59D-764A57E35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405504"/>
        <c:axId val="2072406464"/>
      </c:scatterChart>
      <c:valAx>
        <c:axId val="207240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72406464"/>
        <c:crosses val="autoZero"/>
        <c:crossBetween val="midCat"/>
      </c:valAx>
      <c:valAx>
        <c:axId val="207240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7240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422275</xdr:colOff>
      <xdr:row>4</xdr:row>
      <xdr:rowOff>65087</xdr:rowOff>
    </xdr:from>
    <xdr:to>
      <xdr:col>4</xdr:col>
      <xdr:colOff>482601</xdr:colOff>
      <xdr:row>26</xdr:row>
      <xdr:rowOff>44451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F1EFA03-7CB6-EC09-2162-82F8852AB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47625</xdr:colOff>
      <xdr:row>25</xdr:row>
      <xdr:rowOff>114300</xdr:rowOff>
    </xdr:from>
    <xdr:to>
      <xdr:col>7</xdr:col>
      <xdr:colOff>396875</xdr:colOff>
      <xdr:row>40</xdr:row>
      <xdr:rowOff>95250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890F7F0-A7AD-1A28-CCCB-1605CC5459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E5C3-A2B0-48AC-B53B-0DCCCF3AAB41}">
  <dimension ref="A1:G95"/>
  <sheetViews>
    <sheetView tabSelected="1" workbookViewId="0">
      <selection activeCell="C39" sqref="C39"/>
    </sheetView>
  </sheetViews>
  <sheetFormatPr baseColWidth="10" defaultRowHeight="14.5" x14ac:dyDescent="0.35"/>
  <cols>
    <col min="2" max="2" width="19.08984375" customWidth="1"/>
    <col min="3" max="3" width="22.81640625" bestFit="1" customWidth="1"/>
    <col min="5" max="5" width="14.81640625" bestFit="1" customWidth="1"/>
    <col min="6" max="7" width="22.81640625" bestFit="1" customWidth="1"/>
  </cols>
  <sheetData>
    <row r="1" spans="1:7" x14ac:dyDescent="0.35">
      <c r="A1" t="s">
        <v>0</v>
      </c>
      <c r="B1" t="s">
        <v>1</v>
      </c>
      <c r="C1" t="s">
        <v>15</v>
      </c>
      <c r="E1" t="s">
        <v>17</v>
      </c>
      <c r="F1" t="s">
        <v>15</v>
      </c>
      <c r="G1" t="s">
        <v>16</v>
      </c>
    </row>
    <row r="2" spans="1:7" x14ac:dyDescent="0.35">
      <c r="A2">
        <v>0</v>
      </c>
      <c r="B2">
        <v>-4.5</v>
      </c>
      <c r="E2">
        <v>0</v>
      </c>
    </row>
    <row r="3" spans="1:7" x14ac:dyDescent="0.35">
      <c r="A3">
        <v>100</v>
      </c>
      <c r="B3">
        <v>-3.4990000000000001</v>
      </c>
      <c r="C3">
        <v>-2.4929999999999999</v>
      </c>
      <c r="E3">
        <v>10.8</v>
      </c>
      <c r="F3">
        <v>-3.1360000000000001</v>
      </c>
      <c r="G3">
        <v>-3.13</v>
      </c>
    </row>
    <row r="4" spans="1:7" x14ac:dyDescent="0.35">
      <c r="A4">
        <v>200</v>
      </c>
      <c r="B4">
        <v>-2.4990000000000001</v>
      </c>
      <c r="C4">
        <v>-1.7789999999999999</v>
      </c>
      <c r="E4">
        <v>20.7</v>
      </c>
      <c r="F4">
        <v>-3.0640000000000001</v>
      </c>
      <c r="G4">
        <v>-3.0579999999999998</v>
      </c>
    </row>
    <row r="5" spans="1:7" x14ac:dyDescent="0.35">
      <c r="A5">
        <v>282.5</v>
      </c>
      <c r="B5">
        <v>-1.675</v>
      </c>
      <c r="C5">
        <v>-1.202</v>
      </c>
      <c r="E5">
        <v>30.5</v>
      </c>
      <c r="F5">
        <v>-2.9940000000000002</v>
      </c>
      <c r="G5">
        <v>-2.9889999999999999</v>
      </c>
    </row>
    <row r="6" spans="1:7" x14ac:dyDescent="0.35">
      <c r="A6">
        <v>300</v>
      </c>
      <c r="B6">
        <v>-1.4990000000000001</v>
      </c>
      <c r="C6">
        <v>-1.0669999999999999</v>
      </c>
      <c r="E6">
        <v>40.6</v>
      </c>
      <c r="F6">
        <v>-2.923</v>
      </c>
      <c r="G6">
        <v>-2.9169999999999998</v>
      </c>
    </row>
    <row r="7" spans="1:7" x14ac:dyDescent="0.35">
      <c r="A7">
        <v>400</v>
      </c>
      <c r="B7">
        <v>-0.499</v>
      </c>
      <c r="C7">
        <v>-0.35199999999999998</v>
      </c>
      <c r="E7">
        <v>50.5</v>
      </c>
      <c r="F7">
        <v>-2.8519999999999999</v>
      </c>
      <c r="G7">
        <v>-2.847</v>
      </c>
    </row>
    <row r="8" spans="1:7" x14ac:dyDescent="0.35">
      <c r="A8">
        <v>500</v>
      </c>
      <c r="B8">
        <v>0.5</v>
      </c>
      <c r="C8">
        <v>0.36</v>
      </c>
      <c r="E8">
        <v>60.8</v>
      </c>
      <c r="F8">
        <v>-2.778</v>
      </c>
      <c r="G8">
        <v>-2.774</v>
      </c>
    </row>
    <row r="9" spans="1:7" x14ac:dyDescent="0.35">
      <c r="A9">
        <v>565</v>
      </c>
      <c r="B9">
        <v>1.151</v>
      </c>
      <c r="C9">
        <v>0.82199999999999995</v>
      </c>
      <c r="E9">
        <v>70.8</v>
      </c>
      <c r="F9">
        <v>-2.7080000000000002</v>
      </c>
      <c r="G9">
        <v>-2.7029999999999998</v>
      </c>
    </row>
    <row r="10" spans="1:7" x14ac:dyDescent="0.35">
      <c r="A10">
        <v>600</v>
      </c>
      <c r="B10">
        <v>1.5009999999999999</v>
      </c>
      <c r="C10">
        <v>1.073</v>
      </c>
      <c r="E10">
        <v>80.7</v>
      </c>
      <c r="F10">
        <v>-2.637</v>
      </c>
      <c r="G10">
        <v>-2.633</v>
      </c>
    </row>
    <row r="11" spans="1:7" x14ac:dyDescent="0.35">
      <c r="A11">
        <v>700</v>
      </c>
      <c r="B11">
        <v>2.5</v>
      </c>
      <c r="E11">
        <v>90.7</v>
      </c>
      <c r="F11">
        <v>-2.5649999999999999</v>
      </c>
      <c r="G11">
        <v>-2.5619999999999998</v>
      </c>
    </row>
    <row r="12" spans="1:7" x14ac:dyDescent="0.35">
      <c r="A12">
        <v>800</v>
      </c>
      <c r="B12">
        <v>3.4990000000000001</v>
      </c>
      <c r="E12">
        <v>100.9</v>
      </c>
      <c r="F12">
        <v>-2.492</v>
      </c>
      <c r="G12">
        <v>-2.4889999999999999</v>
      </c>
    </row>
    <row r="13" spans="1:7" x14ac:dyDescent="0.35">
      <c r="A13">
        <v>900</v>
      </c>
      <c r="B13">
        <v>4.4980000000000002</v>
      </c>
      <c r="E13">
        <v>110.9</v>
      </c>
      <c r="F13">
        <v>-2.4209999999999998</v>
      </c>
      <c r="G13">
        <v>-2.4180000000000001</v>
      </c>
    </row>
    <row r="14" spans="1:7" x14ac:dyDescent="0.35">
      <c r="E14">
        <v>120.9</v>
      </c>
      <c r="F14">
        <v>-2.35</v>
      </c>
      <c r="G14">
        <v>-2.347</v>
      </c>
    </row>
    <row r="15" spans="1:7" x14ac:dyDescent="0.35">
      <c r="E15">
        <v>131</v>
      </c>
      <c r="F15">
        <v>-2.2770000000000001</v>
      </c>
      <c r="G15">
        <v>-2.2759999999999998</v>
      </c>
    </row>
    <row r="16" spans="1:7" x14ac:dyDescent="0.35">
      <c r="E16">
        <v>141</v>
      </c>
      <c r="F16">
        <v>-2.206</v>
      </c>
      <c r="G16">
        <v>-2.2050000000000001</v>
      </c>
    </row>
    <row r="17" spans="1:7" x14ac:dyDescent="0.35">
      <c r="E17">
        <v>150.80000000000001</v>
      </c>
      <c r="F17">
        <v>-2.1360000000000001</v>
      </c>
      <c r="G17">
        <v>-2.1349999999999998</v>
      </c>
    </row>
    <row r="18" spans="1:7" x14ac:dyDescent="0.35">
      <c r="E18">
        <v>160.80000000000001</v>
      </c>
      <c r="F18">
        <v>-2.0640000000000001</v>
      </c>
      <c r="G18">
        <v>-2.0630000000000002</v>
      </c>
    </row>
    <row r="19" spans="1:7" x14ac:dyDescent="0.35">
      <c r="E19">
        <v>171</v>
      </c>
      <c r="F19">
        <v>-1.9910000000000001</v>
      </c>
      <c r="G19">
        <v>-1.9910000000000001</v>
      </c>
    </row>
    <row r="20" spans="1:7" x14ac:dyDescent="0.35">
      <c r="E20">
        <v>181</v>
      </c>
      <c r="F20">
        <v>-1.92</v>
      </c>
      <c r="G20">
        <v>-1.92</v>
      </c>
    </row>
    <row r="21" spans="1:7" x14ac:dyDescent="0.35">
      <c r="E21">
        <v>190.9</v>
      </c>
      <c r="F21">
        <v>-1.8480000000000001</v>
      </c>
      <c r="G21">
        <v>-1.849</v>
      </c>
    </row>
    <row r="22" spans="1:7" x14ac:dyDescent="0.35">
      <c r="E22">
        <v>200.8</v>
      </c>
      <c r="F22">
        <v>-1.7769999999999999</v>
      </c>
      <c r="G22">
        <v>-1.7789999999999999</v>
      </c>
    </row>
    <row r="23" spans="1:7" x14ac:dyDescent="0.35">
      <c r="E23">
        <v>211</v>
      </c>
      <c r="F23">
        <v>-1.704</v>
      </c>
      <c r="G23">
        <v>-1.706</v>
      </c>
    </row>
    <row r="24" spans="1:7" x14ac:dyDescent="0.35">
      <c r="E24">
        <v>220.9</v>
      </c>
      <c r="F24">
        <v>-1.633</v>
      </c>
      <c r="G24">
        <v>-1.635</v>
      </c>
    </row>
    <row r="25" spans="1:7" x14ac:dyDescent="0.35">
      <c r="E25">
        <v>230.9</v>
      </c>
      <c r="F25">
        <v>-1.5609999999999999</v>
      </c>
      <c r="G25">
        <v>-1.5640000000000001</v>
      </c>
    </row>
    <row r="26" spans="1:7" x14ac:dyDescent="0.35">
      <c r="E26">
        <v>241.1</v>
      </c>
      <c r="F26">
        <v>-1.488</v>
      </c>
      <c r="G26">
        <v>-1.492</v>
      </c>
    </row>
    <row r="27" spans="1:7" x14ac:dyDescent="0.35">
      <c r="E27">
        <v>251</v>
      </c>
      <c r="F27">
        <v>-1.4179999999999999</v>
      </c>
      <c r="G27">
        <v>-1.421</v>
      </c>
    </row>
    <row r="28" spans="1:7" x14ac:dyDescent="0.35">
      <c r="E28">
        <v>260.8</v>
      </c>
      <c r="F28">
        <v>-1.3480000000000001</v>
      </c>
      <c r="G28">
        <v>-1.3520000000000001</v>
      </c>
    </row>
    <row r="29" spans="1:7" x14ac:dyDescent="0.35">
      <c r="E29">
        <v>270.60000000000002</v>
      </c>
      <c r="F29">
        <v>-1.278</v>
      </c>
      <c r="G29">
        <v>-1.2829999999999999</v>
      </c>
    </row>
    <row r="30" spans="1:7" x14ac:dyDescent="0.35">
      <c r="A30" t="s">
        <v>4</v>
      </c>
      <c r="B30" t="s">
        <v>18</v>
      </c>
      <c r="C30" t="s">
        <v>19</v>
      </c>
      <c r="E30">
        <v>280.7</v>
      </c>
      <c r="F30">
        <v>-1.2070000000000001</v>
      </c>
      <c r="G30">
        <v>-1.2110000000000001</v>
      </c>
    </row>
    <row r="31" spans="1:7" x14ac:dyDescent="0.35">
      <c r="A31">
        <v>150</v>
      </c>
      <c r="B31">
        <v>32768</v>
      </c>
      <c r="C31">
        <v>1.32</v>
      </c>
      <c r="E31">
        <v>290.5</v>
      </c>
      <c r="F31">
        <v>-1.137</v>
      </c>
      <c r="G31">
        <v>-1.141</v>
      </c>
    </row>
    <row r="32" spans="1:7" x14ac:dyDescent="0.35">
      <c r="A32">
        <v>150</v>
      </c>
      <c r="B32">
        <f>B31/3*2</f>
        <v>21845.333333333332</v>
      </c>
      <c r="C32">
        <v>1.1100000000000001</v>
      </c>
      <c r="E32">
        <v>300.39999999999998</v>
      </c>
      <c r="F32">
        <v>-1.0660000000000001</v>
      </c>
      <c r="G32">
        <v>-1.071</v>
      </c>
    </row>
    <row r="33" spans="1:7" x14ac:dyDescent="0.35">
      <c r="A33">
        <v>150</v>
      </c>
      <c r="B33">
        <f>B32/C32</f>
        <v>19680.480480480477</v>
      </c>
      <c r="C33">
        <v>0.8</v>
      </c>
      <c r="E33">
        <v>310.39999999999998</v>
      </c>
      <c r="F33">
        <v>-0.995</v>
      </c>
      <c r="G33">
        <v>-1</v>
      </c>
    </row>
    <row r="34" spans="1:7" x14ac:dyDescent="0.35">
      <c r="A34">
        <v>150</v>
      </c>
      <c r="B34">
        <f>B32*C32</f>
        <v>24248.32</v>
      </c>
      <c r="C34">
        <v>1.45</v>
      </c>
      <c r="E34">
        <v>320.60000000000002</v>
      </c>
      <c r="F34">
        <v>-0.92200000000000004</v>
      </c>
      <c r="G34">
        <v>-0.92700000000000005</v>
      </c>
    </row>
    <row r="35" spans="1:7" x14ac:dyDescent="0.35">
      <c r="E35">
        <v>330.7</v>
      </c>
      <c r="F35">
        <v>-0.85</v>
      </c>
      <c r="G35">
        <v>-0.85599999999999998</v>
      </c>
    </row>
    <row r="36" spans="1:7" x14ac:dyDescent="0.35">
      <c r="E36">
        <v>340.7</v>
      </c>
      <c r="F36">
        <v>-0.77900000000000003</v>
      </c>
      <c r="G36">
        <v>-0.78500000000000003</v>
      </c>
    </row>
    <row r="37" spans="1:7" x14ac:dyDescent="0.35">
      <c r="E37">
        <v>350.9</v>
      </c>
      <c r="F37">
        <v>-0.70599999999999996</v>
      </c>
      <c r="G37">
        <v>-0.71299999999999997</v>
      </c>
    </row>
    <row r="38" spans="1:7" x14ac:dyDescent="0.35">
      <c r="B38">
        <v>21000</v>
      </c>
      <c r="C38">
        <v>1</v>
      </c>
      <c r="E38">
        <v>360.7</v>
      </c>
      <c r="F38">
        <v>-0.63600000000000001</v>
      </c>
      <c r="G38">
        <v>-0.64300000000000002</v>
      </c>
    </row>
    <row r="39" spans="1:7" x14ac:dyDescent="0.35">
      <c r="E39">
        <v>371</v>
      </c>
      <c r="F39">
        <v>-0.56299999999999994</v>
      </c>
      <c r="G39">
        <v>-0.56999999999999995</v>
      </c>
    </row>
    <row r="40" spans="1:7" x14ac:dyDescent="0.35">
      <c r="E40">
        <v>380.6</v>
      </c>
      <c r="F40">
        <v>-0.49399999999999999</v>
      </c>
      <c r="G40">
        <v>-0.502</v>
      </c>
    </row>
    <row r="41" spans="1:7" x14ac:dyDescent="0.35">
      <c r="B41">
        <f>1/565</f>
        <v>1.7699115044247787E-3</v>
      </c>
      <c r="E41">
        <v>391</v>
      </c>
      <c r="F41">
        <v>-0.42</v>
      </c>
      <c r="G41">
        <v>-0.42799999999999999</v>
      </c>
    </row>
    <row r="42" spans="1:7" x14ac:dyDescent="0.35">
      <c r="E42">
        <v>401.1</v>
      </c>
      <c r="F42">
        <v>-0.34699999999999998</v>
      </c>
      <c r="G42">
        <v>-0.35599999999999998</v>
      </c>
    </row>
    <row r="43" spans="1:7" x14ac:dyDescent="0.35">
      <c r="B43">
        <f>565/2</f>
        <v>282.5</v>
      </c>
      <c r="E43">
        <v>410.9</v>
      </c>
      <c r="F43">
        <v>-0.27800000000000002</v>
      </c>
      <c r="G43">
        <v>-0.28599999999999998</v>
      </c>
    </row>
    <row r="44" spans="1:7" x14ac:dyDescent="0.35">
      <c r="E44">
        <v>420.6</v>
      </c>
      <c r="F44">
        <v>-0.21</v>
      </c>
      <c r="G44">
        <v>-0.218</v>
      </c>
    </row>
    <row r="45" spans="1:7" x14ac:dyDescent="0.35">
      <c r="E45">
        <v>430.8</v>
      </c>
      <c r="F45">
        <v>-0.13700000000000001</v>
      </c>
      <c r="G45">
        <v>-0.14499999999999999</v>
      </c>
    </row>
    <row r="46" spans="1:7" x14ac:dyDescent="0.35">
      <c r="E46">
        <v>440.7</v>
      </c>
      <c r="F46">
        <v>-6.9000000000000006E-2</v>
      </c>
      <c r="G46">
        <v>-7.5999999999999998E-2</v>
      </c>
    </row>
    <row r="47" spans="1:7" x14ac:dyDescent="0.35">
      <c r="E47">
        <v>450.6</v>
      </c>
      <c r="F47">
        <v>3.0000000000000001E-3</v>
      </c>
      <c r="G47">
        <v>-6.0000000000000001E-3</v>
      </c>
    </row>
    <row r="48" spans="1:7" x14ac:dyDescent="0.35">
      <c r="E48">
        <v>460.6</v>
      </c>
      <c r="F48">
        <v>7.3999999999999996E-2</v>
      </c>
      <c r="G48">
        <v>6.8000000000000005E-2</v>
      </c>
    </row>
    <row r="49" spans="5:7" x14ac:dyDescent="0.35">
      <c r="E49">
        <v>470.8</v>
      </c>
      <c r="F49">
        <v>0.14699999999999999</v>
      </c>
      <c r="G49">
        <v>0.14000000000000001</v>
      </c>
    </row>
    <row r="50" spans="5:7" x14ac:dyDescent="0.35">
      <c r="E50">
        <v>480.8</v>
      </c>
      <c r="F50">
        <v>0.219</v>
      </c>
      <c r="G50">
        <v>0.20799999999999999</v>
      </c>
    </row>
    <row r="51" spans="5:7" x14ac:dyDescent="0.35">
      <c r="E51">
        <v>490.7</v>
      </c>
      <c r="F51">
        <v>0.28799999999999998</v>
      </c>
      <c r="G51">
        <v>0.27700000000000002</v>
      </c>
    </row>
    <row r="52" spans="5:7" x14ac:dyDescent="0.35">
      <c r="E52">
        <v>500.9</v>
      </c>
      <c r="F52">
        <v>0.36199999999999999</v>
      </c>
      <c r="G52">
        <v>0.35</v>
      </c>
    </row>
    <row r="53" spans="5:7" x14ac:dyDescent="0.35">
      <c r="E53">
        <v>510.8</v>
      </c>
      <c r="F53">
        <v>0.432</v>
      </c>
      <c r="G53">
        <v>0.42</v>
      </c>
    </row>
    <row r="54" spans="5:7" x14ac:dyDescent="0.35">
      <c r="E54">
        <v>520.70000000000005</v>
      </c>
      <c r="F54">
        <v>0.504</v>
      </c>
      <c r="G54">
        <v>0.49099999999999999</v>
      </c>
    </row>
    <row r="55" spans="5:7" x14ac:dyDescent="0.35">
      <c r="E55">
        <v>530.5</v>
      </c>
      <c r="F55">
        <v>0.57399999999999995</v>
      </c>
      <c r="G55">
        <v>0.56000000000000005</v>
      </c>
    </row>
    <row r="56" spans="5:7" x14ac:dyDescent="0.35">
      <c r="E56">
        <v>540.5</v>
      </c>
      <c r="F56">
        <v>0.64500000000000002</v>
      </c>
      <c r="G56">
        <v>0.63</v>
      </c>
    </row>
    <row r="57" spans="5:7" x14ac:dyDescent="0.35">
      <c r="E57">
        <v>550.29999999999995</v>
      </c>
      <c r="F57">
        <v>0.71499999999999997</v>
      </c>
      <c r="G57">
        <v>0.69899999999999995</v>
      </c>
    </row>
    <row r="58" spans="5:7" x14ac:dyDescent="0.35">
      <c r="E58">
        <v>560.29999999999995</v>
      </c>
      <c r="F58">
        <v>0.78600000000000003</v>
      </c>
      <c r="G58">
        <v>0.76900000000000002</v>
      </c>
    </row>
    <row r="59" spans="5:7" x14ac:dyDescent="0.35">
      <c r="E59">
        <v>570.4</v>
      </c>
      <c r="F59">
        <v>0.85599999999999998</v>
      </c>
      <c r="G59">
        <v>0.83599999999999997</v>
      </c>
    </row>
    <row r="60" spans="5:7" x14ac:dyDescent="0.35">
      <c r="E60">
        <v>580.70000000000005</v>
      </c>
      <c r="F60">
        <v>0.92700000000000005</v>
      </c>
      <c r="G60">
        <v>0.9</v>
      </c>
    </row>
    <row r="61" spans="5:7" x14ac:dyDescent="0.35">
      <c r="E61">
        <v>590.70000000000005</v>
      </c>
      <c r="F61">
        <v>0.99299999999999999</v>
      </c>
      <c r="G61">
        <v>0.95</v>
      </c>
    </row>
    <row r="62" spans="5:7" x14ac:dyDescent="0.35">
      <c r="E62">
        <v>601</v>
      </c>
      <c r="F62">
        <v>1.052</v>
      </c>
      <c r="G62">
        <v>0.99099999999999999</v>
      </c>
    </row>
    <row r="73" spans="1:7" x14ac:dyDescent="0.35">
      <c r="A73" s="1"/>
    </row>
    <row r="74" spans="1:7" x14ac:dyDescent="0.35">
      <c r="A74">
        <f>-0.637*100.02+449.98</f>
        <v>386.26726000000002</v>
      </c>
    </row>
    <row r="79" spans="1:7" x14ac:dyDescent="0.35">
      <c r="A79" t="s">
        <v>2</v>
      </c>
      <c r="B79" t="s">
        <v>3</v>
      </c>
      <c r="C79" t="s">
        <v>4</v>
      </c>
    </row>
    <row r="80" spans="1:7" x14ac:dyDescent="0.35">
      <c r="A80">
        <v>0</v>
      </c>
      <c r="B80">
        <v>-5</v>
      </c>
      <c r="C80">
        <v>0</v>
      </c>
      <c r="E80" t="s">
        <v>9</v>
      </c>
      <c r="G80" t="s">
        <v>11</v>
      </c>
    </row>
    <row r="81" spans="1:7" x14ac:dyDescent="0.35">
      <c r="A81">
        <f>2^16-1</f>
        <v>65535</v>
      </c>
      <c r="B81">
        <v>5</v>
      </c>
      <c r="C81">
        <v>1000</v>
      </c>
      <c r="E81">
        <f>C81/(A81+1)</f>
        <v>1.52587890625E-2</v>
      </c>
      <c r="G81">
        <f>1/E81</f>
        <v>65.536000000000001</v>
      </c>
    </row>
    <row r="84" spans="1:7" x14ac:dyDescent="0.35">
      <c r="A84" t="s">
        <v>5</v>
      </c>
    </row>
    <row r="85" spans="1:7" x14ac:dyDescent="0.35">
      <c r="A85">
        <f>(A81+1)/C81</f>
        <v>65.536000000000001</v>
      </c>
      <c r="B85" t="s">
        <v>6</v>
      </c>
    </row>
    <row r="87" spans="1:7" x14ac:dyDescent="0.35">
      <c r="A87" t="s">
        <v>7</v>
      </c>
      <c r="E87" t="s">
        <v>10</v>
      </c>
    </row>
    <row r="88" spans="1:7" x14ac:dyDescent="0.35">
      <c r="A88">
        <f>(A81+1)/(B81-B80)</f>
        <v>6553.6</v>
      </c>
      <c r="B88" t="s">
        <v>8</v>
      </c>
      <c r="E88">
        <f>1/A88</f>
        <v>1.52587890625E-4</v>
      </c>
    </row>
    <row r="90" spans="1:7" x14ac:dyDescent="0.35">
      <c r="A90" t="s">
        <v>14</v>
      </c>
      <c r="E90" t="s">
        <v>12</v>
      </c>
    </row>
    <row r="91" spans="1:7" x14ac:dyDescent="0.35">
      <c r="E91">
        <f>A88*0.0025</f>
        <v>16.384</v>
      </c>
    </row>
    <row r="94" spans="1:7" x14ac:dyDescent="0.35">
      <c r="G94" t="s">
        <v>13</v>
      </c>
    </row>
    <row r="95" spans="1:7" x14ac:dyDescent="0.35">
      <c r="G95">
        <f>E91/G81</f>
        <v>0.25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Hoerner</dc:creator>
  <cp:lastModifiedBy>Michael Hoerner</cp:lastModifiedBy>
  <dcterms:created xsi:type="dcterms:W3CDTF">2023-02-07T14:27:04Z</dcterms:created>
  <dcterms:modified xsi:type="dcterms:W3CDTF">2023-06-14T16:47:58Z</dcterms:modified>
</cp:coreProperties>
</file>